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921"/>
  </bookViews>
  <sheets>
    <sheet name="2026年19周纯洗箱情况" sheetId="40" r:id="rId1"/>
    <sheet name="2025年18周" sheetId="5" r:id="rId2"/>
    <sheet name="2026年第19周" sheetId="4" r:id="rId3"/>
    <sheet name="自营2026周完成情况" sheetId="11" r:id="rId4"/>
    <sheet name="第19周周填报数据" sheetId="19" r:id="rId5"/>
    <sheet name="第19周各客户箱量信息" sheetId="38" r:id="rId6"/>
    <sheet name="周检修业务统计数据" sheetId="26" r:id="rId7"/>
    <sheet name="2026年新格式" sheetId="28" r:id="rId8"/>
    <sheet name="双品牌" sheetId="31" r:id="rId9"/>
    <sheet name="COS" sheetId="34" r:id="rId10"/>
    <sheet name="OOCL" sheetId="33" r:id="rId11"/>
    <sheet name="第三方" sheetId="32" r:id="rId12"/>
    <sheet name="全部干箱" sheetId="36" r:id="rId13"/>
    <sheet name="全部冷箱" sheetId="37" r:id="rId14"/>
    <sheet name="冷箱第三方" sheetId="39" r:id="rId15"/>
    <sheet name="经营单位" sheetId="30" r:id="rId16"/>
    <sheet name="全外包单位" sheetId="7" r:id="rId17"/>
  </sheets>
  <definedNames>
    <definedName name="_xlnm._FilterDatabase" localSheetId="6" hidden="1">周检修业务统计数据!$A$1:$M$1</definedName>
    <definedName name="_xlnm._FilterDatabase" localSheetId="2" hidden="1">'2026年第19周'!$A$44:$AD$182</definedName>
    <definedName name="_xlnm._FilterDatabase" localSheetId="4" hidden="1">第19周周填报数据!$A$1:$K$40</definedName>
  </definedNames>
  <calcPr calcId="191029" fullPrecision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<sst xmlns="http://schemas.openxmlformats.org/spreadsheetml/2006/main" count="3618" uniqueCount="578">
  <si>
    <t>经营单位</t>
  </si>
  <si>
    <t>网点</t>
  </si>
  <si>
    <t>纯洗箱量</t>
  </si>
  <si>
    <t>纯洗箱费</t>
  </si>
  <si>
    <t>合计修洗量</t>
  </si>
  <si>
    <t>合计修洗费</t>
  </si>
  <si>
    <t>修洗箱单箱</t>
  </si>
  <si>
    <t>修箱单箱</t>
  </si>
  <si>
    <t>单箱差额</t>
  </si>
  <si>
    <t>南岗分公司</t>
  </si>
  <si>
    <t>南岗堆场</t>
  </si>
  <si>
    <t>东江仓码头</t>
  </si>
  <si>
    <t>深圳运营中心</t>
  </si>
  <si>
    <t>深圳大铲湾</t>
  </si>
  <si>
    <t>华慧良修</t>
  </si>
  <si>
    <t>深圳蛇口堆场</t>
  </si>
  <si>
    <t>汕头广澳</t>
  </si>
  <si>
    <t>汕头堆场</t>
  </si>
  <si>
    <t>汕头国集</t>
  </si>
  <si>
    <t>广州运营中心</t>
  </si>
  <si>
    <t>黄埔旧港</t>
  </si>
  <si>
    <t>淡水河码头</t>
  </si>
  <si>
    <t>新沙港</t>
  </si>
  <si>
    <t>南沙三期自营</t>
  </si>
  <si>
    <t>南沙一期码头</t>
  </si>
  <si>
    <t>南沙二期</t>
  </si>
  <si>
    <t>虎门二期码头</t>
  </si>
  <si>
    <t>虎门港一期</t>
  </si>
  <si>
    <t>虎门三期码头</t>
  </si>
  <si>
    <t>惠州龙溪</t>
  </si>
  <si>
    <t>珠三角运营中心</t>
  </si>
  <si>
    <t>佛山南庄</t>
  </si>
  <si>
    <t>白坭南拓</t>
  </si>
  <si>
    <t>佛山南鲲</t>
  </si>
  <si>
    <t>佛山高明外堆场</t>
  </si>
  <si>
    <t>佛山高明珠江码头</t>
  </si>
  <si>
    <t>佛山高明战备码头</t>
  </si>
  <si>
    <t>珠海高栏</t>
  </si>
  <si>
    <t>肇庆南江</t>
  </si>
  <si>
    <t>肇庆新港</t>
  </si>
  <si>
    <t>江门外海</t>
  </si>
  <si>
    <t>贵阳陆港铁路场</t>
  </si>
  <si>
    <t>顺德乐从</t>
  </si>
  <si>
    <t>佛山顺乐自营</t>
  </si>
  <si>
    <t>顺德中储粮</t>
  </si>
  <si>
    <t>高明高荷码头</t>
  </si>
  <si>
    <t>粤西运营中心</t>
  </si>
  <si>
    <t>湛江外堆场</t>
  </si>
  <si>
    <t>湛江港</t>
  </si>
  <si>
    <t>水东</t>
  </si>
  <si>
    <t>北部湾运营中心</t>
  </si>
  <si>
    <t>防城港外堆场</t>
  </si>
  <si>
    <t>防城港二堆场</t>
  </si>
  <si>
    <t>广西钦州外堆场自营</t>
  </si>
  <si>
    <t>广西钦州港自营</t>
  </si>
  <si>
    <t>广州弘运</t>
  </si>
  <si>
    <t>东莞石龙</t>
  </si>
  <si>
    <t>南沙弘运外堆场</t>
  </si>
  <si>
    <t>三水新港</t>
  </si>
  <si>
    <t>江门李锦记</t>
  </si>
  <si>
    <t>江门双水</t>
  </si>
  <si>
    <t>江门天马港</t>
  </si>
  <si>
    <t>江门鹤山</t>
  </si>
  <si>
    <t>南沙一期弘运</t>
  </si>
  <si>
    <t>云浮新港</t>
  </si>
  <si>
    <t>新会新港</t>
  </si>
  <si>
    <t>广西钦州外堆场弘运</t>
  </si>
  <si>
    <t>高明珠江码头外包</t>
  </si>
  <si>
    <t>浚得兴</t>
  </si>
  <si>
    <t>江门奔达码头</t>
  </si>
  <si>
    <t>黄埔集司</t>
  </si>
  <si>
    <t>肇庆三榕</t>
  </si>
  <si>
    <t>新会亚太</t>
  </si>
  <si>
    <t>防城港</t>
  </si>
  <si>
    <t>乐平码头弘运</t>
  </si>
  <si>
    <t>南沙二期弘运</t>
  </si>
  <si>
    <t>钦州弘运</t>
  </si>
  <si>
    <t>北海港</t>
  </si>
  <si>
    <t>铁山东岸港</t>
  </si>
  <si>
    <t>广西钦州港外包</t>
  </si>
  <si>
    <t>防城港钦州弘运</t>
  </si>
  <si>
    <t>广西铁山港</t>
  </si>
  <si>
    <t>广西铁山港外堆场</t>
  </si>
  <si>
    <t>弘运天浩</t>
  </si>
  <si>
    <t>江门三埠港</t>
  </si>
  <si>
    <t>万建达</t>
  </si>
  <si>
    <t>防城港万建达堆场</t>
  </si>
  <si>
    <t>江门公益港</t>
  </si>
  <si>
    <t>清远港</t>
  </si>
  <si>
    <t>顺德勒流</t>
  </si>
  <si>
    <t>顺德容奇</t>
  </si>
  <si>
    <t>顺德颐德</t>
  </si>
  <si>
    <t>莲花山</t>
  </si>
  <si>
    <t>肇庆马房(四会)</t>
  </si>
  <si>
    <t>肇庆马房</t>
  </si>
  <si>
    <t>珠海斗门</t>
  </si>
  <si>
    <t>佛山南海北村码头</t>
  </si>
  <si>
    <t>惠州堆场</t>
  </si>
  <si>
    <t>万年红</t>
  </si>
  <si>
    <t>中山小榄</t>
  </si>
  <si>
    <t>中山港</t>
  </si>
  <si>
    <t>江门外海外包</t>
  </si>
  <si>
    <t>珠海洪湾</t>
  </si>
  <si>
    <t>珠海神湾</t>
  </si>
  <si>
    <t>珠海西域</t>
  </si>
  <si>
    <t>江门高沙</t>
  </si>
  <si>
    <t>中山黄圃港</t>
  </si>
  <si>
    <t>中山外运码头</t>
  </si>
  <si>
    <t>裕丰</t>
  </si>
  <si>
    <t>广西新龙</t>
  </si>
  <si>
    <t>广西武林</t>
  </si>
  <si>
    <t>广西苏湾港</t>
  </si>
  <si>
    <t>广西贵港</t>
  </si>
  <si>
    <t>广西武林通洲码头</t>
  </si>
  <si>
    <t>广西武宣</t>
  </si>
  <si>
    <t>广西名燕</t>
  </si>
  <si>
    <t>广西中储粮</t>
  </si>
  <si>
    <t>本港</t>
  </si>
  <si>
    <t>炭步新港</t>
  </si>
  <si>
    <t>花都巴江</t>
  </si>
  <si>
    <t>肇庆三榕本港</t>
  </si>
  <si>
    <t>佛山三水南港本港</t>
  </si>
  <si>
    <t>佛山顺乐本港</t>
  </si>
  <si>
    <t>梧州港</t>
  </si>
  <si>
    <t>广州一鸣</t>
  </si>
  <si>
    <t>清新港</t>
  </si>
  <si>
    <t>坚迅</t>
  </si>
  <si>
    <t>江门九江坚迅</t>
  </si>
  <si>
    <t>佛山南利</t>
  </si>
  <si>
    <t>广州鸦岗</t>
  </si>
  <si>
    <t>北滘码头二期</t>
  </si>
  <si>
    <t>云浮港盛码头</t>
  </si>
  <si>
    <t>顺德北滘堆场</t>
  </si>
  <si>
    <t>乌冲口姬堂</t>
  </si>
  <si>
    <t>肇庆康州港</t>
  </si>
  <si>
    <t>东莞鹏成码头</t>
  </si>
  <si>
    <t>九江欧浦</t>
  </si>
  <si>
    <t>华津码头</t>
  </si>
  <si>
    <t>佛山永泰码头</t>
  </si>
  <si>
    <t>广西梧州大利口</t>
  </si>
  <si>
    <t>广西紫金村</t>
  </si>
  <si>
    <t>深圳天河</t>
  </si>
  <si>
    <t>佛山三山</t>
  </si>
  <si>
    <t>信步</t>
  </si>
  <si>
    <t>揭阳红东码头</t>
  </si>
  <si>
    <t>广西贺州</t>
  </si>
  <si>
    <t>北滘码头一期</t>
  </si>
  <si>
    <t>南宁亿邦</t>
  </si>
  <si>
    <t>广西梧州赤水港</t>
  </si>
  <si>
    <t>广西大德港</t>
  </si>
  <si>
    <t>黄埔集司A场</t>
  </si>
  <si>
    <t>万永联</t>
  </si>
  <si>
    <t>广西钦州外堆场万永联</t>
  </si>
  <si>
    <t>辉成</t>
  </si>
  <si>
    <t>阳江港外包</t>
  </si>
  <si>
    <t>肇庆高要</t>
  </si>
  <si>
    <t>别志</t>
  </si>
  <si>
    <t>云浮新港别志</t>
  </si>
  <si>
    <t>泓洋</t>
  </si>
  <si>
    <t>开平水口码头</t>
  </si>
  <si>
    <t>武宣龙从码头</t>
  </si>
  <si>
    <t>万海通</t>
  </si>
  <si>
    <t>东莞海腾码头</t>
  </si>
  <si>
    <t>深圳龙岗堆场</t>
  </si>
  <si>
    <t>深圳蛇口二堆场</t>
  </si>
  <si>
    <t>凯琪物流</t>
  </si>
  <si>
    <t>昆明安宁海川</t>
  </si>
  <si>
    <t>港信</t>
  </si>
  <si>
    <t>惠州港</t>
  </si>
  <si>
    <t>贺州堆场</t>
  </si>
  <si>
    <t>星之航</t>
  </si>
  <si>
    <t>深圳大铲湾堆场</t>
  </si>
  <si>
    <t>广通</t>
  </si>
  <si>
    <t>深圳盐田合作堆场</t>
  </si>
  <si>
    <t>汕头裕港</t>
  </si>
  <si>
    <t>蓝口铁路站点</t>
  </si>
  <si>
    <t>昆明阳都</t>
  </si>
  <si>
    <t>合计干箱不含税不含移箱费</t>
  </si>
  <si>
    <t>单位汇总报表</t>
  </si>
  <si>
    <t>自营箱量完成情况</t>
  </si>
  <si>
    <t>业务类型</t>
  </si>
  <si>
    <t>中远海干箱</t>
  </si>
  <si>
    <t>第三方干箱</t>
  </si>
  <si>
    <t>其它费用</t>
  </si>
  <si>
    <t>合计</t>
  </si>
  <si>
    <t>生产周期</t>
  </si>
  <si>
    <t>18</t>
  </si>
  <si>
    <t>部门/单位</t>
  </si>
  <si>
    <t>箱量</t>
  </si>
  <si>
    <t>环比</t>
  </si>
  <si>
    <t>产值</t>
  </si>
  <si>
    <t>单箱</t>
  </si>
  <si>
    <t>移箱费</t>
  </si>
  <si>
    <t>冷箱产值</t>
  </si>
  <si>
    <t>堆场产值</t>
  </si>
  <si>
    <t>其它</t>
  </si>
  <si>
    <t>现金收费</t>
  </si>
  <si>
    <t>人均产出</t>
  </si>
  <si>
    <t>人员数量</t>
  </si>
  <si>
    <t>周目标箱量</t>
  </si>
  <si>
    <t>完成差额</t>
  </si>
  <si>
    <t>合计目标箱量</t>
  </si>
  <si>
    <t>合计完成量</t>
  </si>
  <si>
    <t>合计完成差额</t>
  </si>
  <si>
    <t>自营</t>
  </si>
  <si>
    <t>自营总计</t>
  </si>
  <si>
    <t>合作供应商</t>
  </si>
  <si>
    <t>外包总计</t>
  </si>
  <si>
    <t>自营外包总计</t>
  </si>
  <si>
    <t/>
  </si>
  <si>
    <t>环比增减</t>
  </si>
  <si>
    <t>净值</t>
  </si>
  <si>
    <t>全部干箱业务</t>
  </si>
  <si>
    <t>中远海自营占比</t>
  </si>
  <si>
    <t>第三方业务占比</t>
  </si>
  <si>
    <t>网点明细报表</t>
  </si>
  <si>
    <t>分网点自营箱量完成情况</t>
  </si>
  <si>
    <t>网点业务情况备注</t>
  </si>
  <si>
    <t>修理人员数量</t>
  </si>
  <si>
    <t>2023年1月新开，新鱼珠点改名</t>
  </si>
  <si>
    <t>2023年2月新开。</t>
  </si>
  <si>
    <t>优化给弘运高明珠江码头外包</t>
  </si>
  <si>
    <t>优化给坚迅江门九江坚迅</t>
  </si>
  <si>
    <t>2023年9月15号新增高荷场站</t>
  </si>
  <si>
    <t>2023年11月新增湛江外堆场</t>
  </si>
  <si>
    <t>优化为自营佛山顺乐自营</t>
  </si>
  <si>
    <t>流动修箱场</t>
  </si>
  <si>
    <t>OOCL外包业务</t>
  </si>
  <si>
    <t>关停，并给钦州弘运</t>
  </si>
  <si>
    <t>2022年10月新增</t>
  </si>
  <si>
    <t>业务外移到外堆场</t>
  </si>
  <si>
    <t>关停</t>
  </si>
  <si>
    <t>马士基外包业务</t>
  </si>
  <si>
    <t>2023年2月新增场站</t>
  </si>
  <si>
    <t>202209重新开展业务</t>
  </si>
  <si>
    <t>2023年3月新增场站</t>
  </si>
  <si>
    <t>2023年2月新增场站,</t>
  </si>
  <si>
    <t>2022年7优化给中铁物流9月签合同</t>
  </si>
  <si>
    <t>2023年1月份正式优化给凯琪物流</t>
  </si>
  <si>
    <t>总箱量</t>
  </si>
  <si>
    <t>总产值</t>
  </si>
  <si>
    <t>箱量环比</t>
  </si>
  <si>
    <t>产值环比</t>
  </si>
  <si>
    <t>自营堆场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</si>
  <si>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022年10月新增</t>
    </r>
  </si>
  <si>
    <t>财务月（2025年）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</si>
  <si>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</si>
  <si>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</si>
  <si>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</si>
  <si>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</si>
  <si>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</si>
  <si>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</si>
  <si>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</si>
  <si>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</si>
  <si>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</si>
  <si>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</si>
  <si>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</si>
  <si>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</si>
  <si>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财务月天数</t>
  </si>
  <si>
    <t>财务月产值指标比100%</t>
  </si>
  <si>
    <t>财务月指标（年25900万）</t>
  </si>
  <si>
    <t>每天产值指标</t>
  </si>
  <si>
    <t>生产月完成指标</t>
  </si>
  <si>
    <t>财务月完成指标</t>
  </si>
  <si>
    <t>财务月度指标完成比例</t>
  </si>
  <si>
    <t>自营每周产值（2025年）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</si>
  <si>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</si>
  <si>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</si>
  <si>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</si>
  <si>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</si>
  <si>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</si>
  <si>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</si>
  <si>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</si>
  <si>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</si>
  <si>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</si>
  <si>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</si>
  <si>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</si>
  <si>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</si>
  <si>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</si>
  <si>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</si>
  <si>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</si>
  <si>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</si>
  <si>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</si>
  <si>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</si>
  <si>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</si>
  <si>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</si>
  <si>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</si>
  <si>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</si>
  <si>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</si>
  <si>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</si>
  <si>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第25周</t>
  </si>
  <si>
    <t>第26周</t>
  </si>
  <si>
    <t>第27周</t>
  </si>
  <si>
    <t>第28周</t>
  </si>
  <si>
    <t>第29周</t>
  </si>
  <si>
    <t>第30周</t>
  </si>
  <si>
    <t>第31周</t>
  </si>
  <si>
    <t>第32周</t>
  </si>
  <si>
    <t>第33周</t>
  </si>
  <si>
    <t>第34周</t>
  </si>
  <si>
    <t>第35周</t>
  </si>
  <si>
    <t>第36周</t>
  </si>
  <si>
    <t>第37周</t>
  </si>
  <si>
    <t>第38周</t>
  </si>
  <si>
    <t>第39周</t>
  </si>
  <si>
    <t>第40周</t>
  </si>
  <si>
    <t>第41周</t>
  </si>
  <si>
    <t>第42周</t>
  </si>
  <si>
    <t>第43周</t>
  </si>
  <si>
    <t>第44周</t>
  </si>
  <si>
    <t>第45周</t>
  </si>
  <si>
    <t>第46周</t>
  </si>
  <si>
    <t>第47周</t>
  </si>
  <si>
    <t>第48周</t>
  </si>
  <si>
    <t>第49周</t>
  </si>
  <si>
    <t>第50周</t>
  </si>
  <si>
    <t>第51周</t>
  </si>
  <si>
    <t>第52周</t>
  </si>
  <si>
    <t>生产周起始时间</t>
  </si>
  <si>
    <t>1225-1231</t>
  </si>
  <si>
    <t>0101-0107</t>
  </si>
  <si>
    <t>0108-0114</t>
  </si>
  <si>
    <t>0115-0121</t>
  </si>
  <si>
    <t>0122-0128</t>
  </si>
  <si>
    <t>0229-0204</t>
  </si>
  <si>
    <t>0205-0211</t>
  </si>
  <si>
    <t>0212-0218</t>
  </si>
  <si>
    <t>0219-0225</t>
  </si>
  <si>
    <t>0226-0304</t>
  </si>
  <si>
    <t>0305-0311</t>
  </si>
  <si>
    <t>0312-0328</t>
  </si>
  <si>
    <t>0319-0325</t>
  </si>
  <si>
    <t>0326-0401</t>
  </si>
  <si>
    <t>0402-0408</t>
  </si>
  <si>
    <t>0409-0415</t>
  </si>
  <si>
    <t>0416-0422</t>
  </si>
  <si>
    <t>0423-0429</t>
  </si>
  <si>
    <t>0430-0506</t>
  </si>
  <si>
    <t>生产周产值指标（万元）</t>
  </si>
  <si>
    <t>生产周实际完成产值（元）</t>
  </si>
  <si>
    <t>生产周指标完成情况</t>
  </si>
  <si>
    <t>生产周累积产值完成指标</t>
  </si>
  <si>
    <t>完成全年总产值指标比</t>
  </si>
  <si>
    <t>生产时间与全年时间占比</t>
  </si>
  <si>
    <t>自营每周（2025年）</t>
  </si>
  <si>
    <t>周累计箱量</t>
  </si>
  <si>
    <t>周累计量同比</t>
  </si>
  <si>
    <t>周累计产值(万)</t>
  </si>
  <si>
    <t>周累计产值同比（万）</t>
  </si>
  <si>
    <t>当周完成箱量</t>
  </si>
  <si>
    <t>当周指标差额</t>
  </si>
  <si>
    <t>粤西</t>
  </si>
  <si>
    <t>北部湾</t>
  </si>
  <si>
    <t>总计完成</t>
  </si>
  <si>
    <t>自营每周箱量（2026年）</t>
  </si>
  <si>
    <t>同比2025年</t>
  </si>
  <si>
    <t>箱量增长</t>
  </si>
  <si>
    <t>产值增长</t>
  </si>
  <si>
    <t>自营每周产值（2026年）</t>
  </si>
  <si>
    <t>含税</t>
  </si>
  <si>
    <t>完成全年总额比</t>
  </si>
  <si>
    <t>完成时间</t>
  </si>
  <si>
    <t>总计完成（不含税）</t>
  </si>
  <si>
    <t>不含税</t>
  </si>
  <si>
    <t>自营每周箱量（2025年）</t>
  </si>
  <si>
    <t>序号</t>
  </si>
  <si>
    <t>费目</t>
  </si>
  <si>
    <t>含税金额（人民币）</t>
  </si>
  <si>
    <t>税率</t>
  </si>
  <si>
    <t>费用描述</t>
  </si>
  <si>
    <t>费用完成周期</t>
  </si>
  <si>
    <t>付费方名称</t>
  </si>
  <si>
    <t>费目板块归类</t>
  </si>
  <si>
    <t>二级费目归类</t>
  </si>
  <si>
    <t>三级费目归类</t>
  </si>
  <si>
    <t>空箱吊装收入</t>
  </si>
  <si>
    <t>蛇口堆场吊柜费</t>
  </si>
  <si>
    <t>COS</t>
  </si>
  <si>
    <t>堆场仓储板块</t>
  </si>
  <si>
    <t>堆场仓储收入</t>
  </si>
  <si>
    <t>堆场空箱服务收入</t>
  </si>
  <si>
    <t>空箱运输收入</t>
  </si>
  <si>
    <t>蛇口堆场拖车费</t>
  </si>
  <si>
    <t>空箱其他收入</t>
  </si>
  <si>
    <t>蛇口堆场服务费</t>
  </si>
  <si>
    <t>COS(预约+其他)</t>
  </si>
  <si>
    <t>OOC</t>
  </si>
  <si>
    <t>OOC(预约+其他）</t>
  </si>
  <si>
    <t>空箱堆存收入</t>
  </si>
  <si>
    <t>龙岗堆场新箱堆存费</t>
  </si>
  <si>
    <t>新箱龙岗（DFXC)</t>
  </si>
  <si>
    <t>蛇口堆场堆存费</t>
  </si>
  <si>
    <t>trition</t>
  </si>
  <si>
    <t>佛罗伦</t>
  </si>
  <si>
    <t>CAI</t>
  </si>
  <si>
    <t>汕头堆场OOC上下车费</t>
  </si>
  <si>
    <t>汕头堆场COS上下车费</t>
  </si>
  <si>
    <t>其他业务收入</t>
  </si>
  <si>
    <t>其它移箱费</t>
  </si>
  <si>
    <t>上下车费</t>
  </si>
  <si>
    <t>困难操作费、闸口费</t>
  </si>
  <si>
    <t>渡柜费</t>
  </si>
  <si>
    <t>钦州堆场OOCL上下车费</t>
  </si>
  <si>
    <t>东方海外货柜航运（中国）有限公司深圳分公司</t>
  </si>
  <si>
    <t>钦州堆场COS上下车费</t>
  </si>
  <si>
    <t xml:space="preserve">中远海运集装箱运输有限公司  </t>
  </si>
  <si>
    <t>防城港堆场COS上下车费</t>
  </si>
  <si>
    <t>防城港二堆场COS上下车费</t>
  </si>
  <si>
    <t>湛江堆场COS上下车费</t>
  </si>
  <si>
    <t>GOM11上下车</t>
  </si>
  <si>
    <t>闸口检验收入</t>
  </si>
  <si>
    <t>龙溪闸口验箱</t>
  </si>
  <si>
    <t>其他业务板块</t>
  </si>
  <si>
    <t>其他检验收入</t>
  </si>
  <si>
    <t>市场部拆装箱</t>
  </si>
  <si>
    <t>拆装箱收入</t>
  </si>
  <si>
    <t>拆箱包干费</t>
  </si>
  <si>
    <t>广西中远海运集装箱运输有限公司</t>
  </si>
  <si>
    <t>天津市浩通安新物流有限公司</t>
  </si>
  <si>
    <t>天津诚顺货运代理有限公司</t>
  </si>
  <si>
    <t>PTI收入</t>
  </si>
  <si>
    <t>NSH06</t>
  </si>
  <si>
    <t>集装箱检修板块</t>
  </si>
  <si>
    <t>冷箱修理收入</t>
  </si>
  <si>
    <t>SWA12</t>
  </si>
  <si>
    <t>深圳合作堆场</t>
  </si>
  <si>
    <t>ZHA02</t>
  </si>
  <si>
    <t>QZH02</t>
  </si>
  <si>
    <t>BHY01</t>
  </si>
  <si>
    <t>IOT设备调试收入</t>
  </si>
  <si>
    <t>南沙一期，安装41台</t>
  </si>
  <si>
    <t>箱体经营板块</t>
  </si>
  <si>
    <t>IOT业务收入</t>
  </si>
  <si>
    <t>客户名称</t>
  </si>
  <si>
    <t>求和项:维修数量</t>
  </si>
  <si>
    <t>求和项:合计收入</t>
  </si>
  <si>
    <t>COT</t>
  </si>
  <si>
    <t>FLORENS</t>
  </si>
  <si>
    <t>GZHY</t>
  </si>
  <si>
    <t>GZHY-NS</t>
  </si>
  <si>
    <t>HPTX</t>
  </si>
  <si>
    <t>KMTC</t>
  </si>
  <si>
    <t>MSK-2RM</t>
  </si>
  <si>
    <t>MSK-2TB</t>
  </si>
  <si>
    <t>MSK-NG2FR</t>
  </si>
  <si>
    <t>ONT</t>
  </si>
  <si>
    <t>OOCL</t>
  </si>
  <si>
    <t>QYWL</t>
  </si>
  <si>
    <t>XFHY</t>
  </si>
  <si>
    <t>(空白)</t>
  </si>
  <si>
    <t>总计</t>
  </si>
  <si>
    <t>公司名称</t>
  </si>
  <si>
    <t>堆场</t>
  </si>
  <si>
    <t>箱分类</t>
  </si>
  <si>
    <t>维修数量</t>
  </si>
  <si>
    <t>完工工时</t>
  </si>
  <si>
    <t>报价材料费</t>
  </si>
  <si>
    <t>报价金额</t>
  </si>
  <si>
    <t>批复金额</t>
  </si>
  <si>
    <t>现场收费</t>
  </si>
  <si>
    <t>移箱数量</t>
  </si>
  <si>
    <t>移箱费合计</t>
  </si>
  <si>
    <t>合计收入</t>
  </si>
  <si>
    <t>广州</t>
  </si>
  <si>
    <t>干箱</t>
  </si>
  <si>
    <t>机组</t>
  </si>
  <si>
    <t>箱体</t>
  </si>
  <si>
    <t>2025本周业务</t>
  </si>
  <si>
    <t>中远海(不含税)</t>
  </si>
  <si>
    <t>OOCL（不含税）</t>
  </si>
  <si>
    <t>第三方干箱（不含税）</t>
  </si>
  <si>
    <t>其它费用(不含税)</t>
  </si>
  <si>
    <t>冷箱修理费</t>
  </si>
  <si>
    <t>冷箱PTI</t>
  </si>
  <si>
    <t>冷箱移箱费</t>
  </si>
  <si>
    <t>拆装箱</t>
  </si>
  <si>
    <t>龙岗新箱</t>
  </si>
  <si>
    <t>其它收费</t>
  </si>
  <si>
    <t>不含税含移箱费单箱</t>
  </si>
  <si>
    <t>含税不含移箱费单箱</t>
  </si>
  <si>
    <t>含税含移箱费单箱</t>
  </si>
  <si>
    <t>2025上周业务</t>
  </si>
  <si>
    <t>中远海</t>
  </si>
  <si>
    <t>37</t>
  </si>
  <si>
    <t>46</t>
  </si>
  <si>
    <t>0</t>
  </si>
  <si>
    <t>809</t>
  </si>
  <si>
    <t>4</t>
  </si>
  <si>
    <t>2099</t>
  </si>
  <si>
    <t>482</t>
  </si>
  <si>
    <t>69</t>
  </si>
  <si>
    <t>133</t>
  </si>
  <si>
    <t>722</t>
  </si>
  <si>
    <t>576</t>
  </si>
  <si>
    <t>39</t>
  </si>
  <si>
    <t>90</t>
  </si>
  <si>
    <t>213</t>
  </si>
  <si>
    <t>497</t>
  </si>
  <si>
    <t>76</t>
  </si>
  <si>
    <t>295</t>
  </si>
  <si>
    <t>507</t>
  </si>
  <si>
    <t>313</t>
  </si>
  <si>
    <t>754</t>
  </si>
  <si>
    <t>1281</t>
  </si>
  <si>
    <t>合计汇总</t>
  </si>
  <si>
    <t>9060</t>
  </si>
  <si>
    <t>2073</t>
  </si>
  <si>
    <t>478</t>
  </si>
  <si>
    <t>747</t>
  </si>
  <si>
    <t>1264</t>
  </si>
  <si>
    <t>8996</t>
  </si>
  <si>
    <t>26</t>
  </si>
  <si>
    <t>10</t>
  </si>
  <si>
    <t>7</t>
  </si>
  <si>
    <t>17</t>
  </si>
  <si>
    <t>64</t>
  </si>
  <si>
    <t>34</t>
  </si>
  <si>
    <t>33</t>
  </si>
  <si>
    <t>89</t>
  </si>
  <si>
    <t>23</t>
  </si>
  <si>
    <t>179</t>
  </si>
  <si>
    <t>2133</t>
  </si>
  <si>
    <t>843</t>
  </si>
  <si>
    <t>1304</t>
  </si>
  <si>
    <t>9239</t>
  </si>
  <si>
    <t>11</t>
  </si>
  <si>
    <t>5</t>
  </si>
  <si>
    <t>1</t>
  </si>
  <si>
    <t>网点名称</t>
  </si>
  <si>
    <t>肇庆南江四会外包</t>
  </si>
  <si>
    <t>佛山平洲南港码头</t>
  </si>
  <si>
    <t>广物物资码头自营</t>
  </si>
  <si>
    <t>冷箱</t>
  </si>
  <si>
    <t>南沙四期自营</t>
  </si>
  <si>
    <t>外包单位ID</t>
  </si>
  <si>
    <t>外包单位简称</t>
  </si>
  <si>
    <t>外包单位全称</t>
  </si>
  <si>
    <t>是否有商业保险</t>
  </si>
  <si>
    <t>具体保险名称</t>
  </si>
  <si>
    <t>广州市弘运物流服务有限公司</t>
  </si>
  <si>
    <t>有</t>
  </si>
  <si>
    <t>雇主责任保险</t>
  </si>
  <si>
    <t>钦州市钦州港弘运物流服务有限公司</t>
  </si>
  <si>
    <t>雇主责任险</t>
  </si>
  <si>
    <t>佛山市南海天浩集装箱有限公司</t>
  </si>
  <si>
    <t>中山市万年红集装箱服务有限公司</t>
  </si>
  <si>
    <t>中国人寿团体意外险</t>
  </si>
  <si>
    <t>厦门中外运裕丰冷冻工程有限公司</t>
  </si>
  <si>
    <t>安全责任险，雇主险，招商意外险</t>
  </si>
  <si>
    <t>广州市本港集装箱工程技术服务有限公司</t>
  </si>
  <si>
    <t>公众责任保险</t>
  </si>
  <si>
    <t>广州市坚迅集装箱维修服务有限公司</t>
  </si>
  <si>
    <t>广州市浚得兴集装箱有限公司</t>
  </si>
  <si>
    <t>深圳市天河集装箱服务有限公司</t>
  </si>
  <si>
    <t>财产险</t>
  </si>
  <si>
    <t>广西信步物贸有限公司</t>
  </si>
  <si>
    <t>钦州万永联集装箱有限公司</t>
  </si>
  <si>
    <t>致胜</t>
  </si>
  <si>
    <t>广州市致胜集装箱保养服务有限公司</t>
  </si>
  <si>
    <t>云浮市别志集装箱维修服务有限公司</t>
  </si>
  <si>
    <t>广州市泓洋集装服务有限公司</t>
  </si>
  <si>
    <t>人寿意外保险</t>
  </si>
  <si>
    <t>万海通（东莞）集装箱服务有限公司</t>
  </si>
  <si>
    <t>无</t>
  </si>
  <si>
    <t>深圳市华慧良修集装箱服务有限公司</t>
  </si>
  <si>
    <t>机器损失险，公众责任保险，财产一切险</t>
  </si>
  <si>
    <t>中山市辉成运输有限公司</t>
  </si>
  <si>
    <t>昆明凯琪物流有限公司</t>
  </si>
  <si>
    <t>佛山众森</t>
  </si>
  <si>
    <t>佛山市众森集装箱服务有限公司</t>
  </si>
  <si>
    <t>广西南宁亿邦服务有很公司</t>
  </si>
  <si>
    <t>深圳星之航集装箱服务有限公司</t>
  </si>
  <si>
    <t>公众责任险 + 财产一切险 + 员工团体保险</t>
  </si>
  <si>
    <t>深圳市广通建业集装箱服务有限公司</t>
  </si>
  <si>
    <t>雇主责任保险，公众责任保险，财产一切险</t>
  </si>
  <si>
    <t>汕头保税区裕港供应链管理有限公司</t>
  </si>
  <si>
    <t>南海区港信货柜维修有限公司</t>
  </si>
  <si>
    <t>中国平安企业敬业福团体保险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</si>
</sst>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  <numFmt numFmtId="178" formatCode="0_);[Red]\(0\)"/>
    <numFmt numFmtId="179" formatCode="0.00_ "/>
    <numFmt numFmtId="180" formatCode="0;\-0"/>
    <numFmt numFmtId="181" formatCode="0.00;\-0.00"/>
    <numFmt numFmtId="182" formatCode="\¥#,##0.00;\¥\-#,##0.00"/>
    <numFmt numFmtId="183" formatCode="0.000_ "/>
    <numFmt numFmtId="184" formatCode="0_ ;[Red]\-0\ "/>
    <numFmt numFmtId="185" formatCode="0.00_ ;[Red]\-0.00\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48576A"/>
      <name val="微软雅黑"/>
      <charset val="134"/>
    </font>
    <font>
      <sz val="9"/>
      <color rgb="FF000000"/>
      <name val="Arial"/>
      <charset val="134"/>
    </font>
    <font>
      <sz val="11"/>
      <name val="Calibri"/>
      <charset val="134"/>
    </font>
    <font>
      <sz val="9"/>
      <color rgb="FF000000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/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rgb="FFB2B2B2"/>
      </bottom>
      <diagonal/>
    </border>
    <border>
      <left/>
      <right style="thin">
        <color auto="1"/>
      </right>
      <top style="thin">
        <color rgb="FFB2B2B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13" borderId="22" applyAlignment="0">
      <alignment vertical="center"/>
    </xf>
    <xf numFmtId="43" fontId="0" fillId="0" borderId="0" applyAlignment="0">
      <alignment vertical="center"/>
    </xf>
    <xf numFmtId="44" fontId="0" fillId="0" borderId="0" applyAlignment="0">
      <alignment vertical="center"/>
    </xf>
    <xf numFmtId="9" fontId="0" fillId="0" borderId="0" applyAlignment="0">
      <alignment vertical="center"/>
    </xf>
    <xf numFmtId="41" fontId="0" fillId="0" borderId="0" applyAlignment="0">
      <alignment vertical="center"/>
    </xf>
    <xf numFmtId="42" fontId="0" fillId="0" borderId="0" applyAlignment="0">
      <alignment vertical="center"/>
    </xf>
    <xf numFmtId="0" fontId="14" fillId="0" borderId="0" applyAlignment="0">
      <alignment vertical="center"/>
    </xf>
    <xf numFmtId="0" fontId="15" fillId="0" borderId="0" applyAlignment="0">
      <alignment vertical="center"/>
    </xf>
    <xf numFmtId="0" fontId="0" fillId="13" borderId="22" applyAlignment="0">
      <alignment vertical="center"/>
    </xf>
    <xf numFmtId="0" fontId="16" fillId="0" borderId="0" applyAlignment="0">
      <alignment vertical="center"/>
    </xf>
    <xf numFmtId="0" fontId="17" fillId="0" borderId="0" applyAlignment="0">
      <alignment vertical="center"/>
    </xf>
    <xf numFmtId="0" fontId="18" fillId="0" borderId="0" applyAlignment="0">
      <alignment vertical="center"/>
    </xf>
    <xf numFmtId="0" fontId="19" fillId="0" borderId="23" applyAlignment="0">
      <alignment vertical="center"/>
    </xf>
    <xf numFmtId="0" fontId="20" fillId="0" borderId="23" applyAlignment="0">
      <alignment vertical="center"/>
    </xf>
    <xf numFmtId="0" fontId="21" fillId="0" borderId="24" applyAlignment="0">
      <alignment vertical="center"/>
    </xf>
    <xf numFmtId="0" fontId="21" fillId="0" borderId="0" applyAlignment="0">
      <alignment vertical="center"/>
    </xf>
    <xf numFmtId="0" fontId="22" fillId="14" borderId="25" applyAlignment="0">
      <alignment vertical="center"/>
    </xf>
    <xf numFmtId="0" fontId="23" fillId="15" borderId="26" applyAlignment="0">
      <alignment vertical="center"/>
    </xf>
    <xf numFmtId="0" fontId="24" fillId="15" borderId="25" applyAlignment="0">
      <alignment vertical="center"/>
    </xf>
    <xf numFmtId="0" fontId="25" fillId="16" borderId="27" applyAlignment="0">
      <alignment vertical="center"/>
    </xf>
    <xf numFmtId="0" fontId="26" fillId="0" borderId="28" applyAlignment="0">
      <alignment vertical="center"/>
    </xf>
    <xf numFmtId="0" fontId="3" fillId="0" borderId="29" applyAlignment="0">
      <alignment vertical="center"/>
    </xf>
    <xf numFmtId="0" fontId="27" fillId="17" borderId="0" applyAlignment="0">
      <alignment vertical="center"/>
    </xf>
    <xf numFmtId="0" fontId="28" fillId="18" borderId="0" applyAlignment="0">
      <alignment vertical="center"/>
    </xf>
    <xf numFmtId="0" fontId="29" fillId="19" borderId="0" applyAlignment="0">
      <alignment vertical="center"/>
    </xf>
    <xf numFmtId="0" fontId="30" fillId="20" borderId="0" applyAlignment="0">
      <alignment vertical="center"/>
    </xf>
    <xf numFmtId="0" fontId="0" fillId="21" borderId="0" applyAlignment="0">
      <alignment vertical="center"/>
    </xf>
    <xf numFmtId="0" fontId="0" fillId="22" borderId="0" applyAlignment="0">
      <alignment vertical="center"/>
    </xf>
    <xf numFmtId="0" fontId="30" fillId="23" borderId="0" applyAlignment="0">
      <alignment vertical="center"/>
    </xf>
    <xf numFmtId="0" fontId="30" fillId="24" borderId="0" applyAlignment="0">
      <alignment vertical="center"/>
    </xf>
    <xf numFmtId="0" fontId="0" fillId="25" borderId="0" applyAlignment="0">
      <alignment vertical="center"/>
    </xf>
    <xf numFmtId="0" fontId="0" fillId="26" borderId="0" applyAlignment="0">
      <alignment vertical="center"/>
    </xf>
    <xf numFmtId="0" fontId="30" fillId="27" borderId="0" applyAlignment="0">
      <alignment vertical="center"/>
    </xf>
    <xf numFmtId="0" fontId="30" fillId="28" borderId="0" applyAlignment="0">
      <alignment vertical="center"/>
    </xf>
    <xf numFmtId="0" fontId="0" fillId="29" borderId="0" applyAlignment="0">
      <alignment vertical="center"/>
    </xf>
    <xf numFmtId="0" fontId="0" fillId="30" borderId="0" applyAlignment="0">
      <alignment vertical="center"/>
    </xf>
    <xf numFmtId="0" fontId="30" fillId="31" borderId="0" applyAlignment="0">
      <alignment vertical="center"/>
    </xf>
    <xf numFmtId="0" fontId="30" fillId="32" borderId="0" applyAlignment="0">
      <alignment vertical="center"/>
    </xf>
    <xf numFmtId="0" fontId="0" fillId="33" borderId="0" applyAlignment="0">
      <alignment vertical="center"/>
    </xf>
    <xf numFmtId="0" fontId="0" fillId="34" borderId="0" applyAlignment="0">
      <alignment vertical="center"/>
    </xf>
    <xf numFmtId="0" fontId="30" fillId="35" borderId="0" applyAlignment="0">
      <alignment vertical="center"/>
    </xf>
    <xf numFmtId="0" fontId="30" fillId="36" borderId="0" applyAlignment="0">
      <alignment vertical="center"/>
    </xf>
    <xf numFmtId="0" fontId="0" fillId="37" borderId="0" applyAlignment="0">
      <alignment vertical="center"/>
    </xf>
    <xf numFmtId="0" fontId="0" fillId="38" borderId="0" applyAlignment="0">
      <alignment vertical="center"/>
    </xf>
    <xf numFmtId="0" fontId="30" fillId="39" borderId="0" applyAlignment="0">
      <alignment vertical="center"/>
    </xf>
    <xf numFmtId="0" fontId="30" fillId="40" borderId="0" applyAlignment="0">
      <alignment vertical="center"/>
    </xf>
    <xf numFmtId="0" fontId="0" fillId="41" borderId="0" applyAlignment="0">
      <alignment vertical="center"/>
    </xf>
    <xf numFmtId="0" fontId="0" fillId="42" borderId="0" applyAlignment="0">
      <alignment vertical="center"/>
    </xf>
    <xf numFmtId="0" fontId="30" fillId="43" borderId="0" applyAlignment="0">
      <alignment vertical="center"/>
    </xf>
  </cellStyleXfs>
  <cellXfs count="254"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/>
    </xf>
    <xf numFmtId="177" fontId="0" fillId="0" borderId="1" xfId="3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7" fontId="0" fillId="3" borderId="1" xfId="3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7" fontId="0" fillId="4" borderId="1" xfId="3" applyNumberForma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10" borderId="0" xfId="0" applyFont="1" applyFill="1" applyBorder="1">
      <alignment vertical="center"/>
    </xf>
    <xf numFmtId="179" fontId="0" fillId="10" borderId="0" xfId="0" applyNumberFormat="1" applyFont="1" applyFill="1" applyBorder="1">
      <alignment vertical="center"/>
    </xf>
    <xf numFmtId="179" fontId="0" fillId="0" borderId="0" xfId="0" applyNumberFormat="1" applyFill="1" applyBorder="1">
      <alignment vertical="center"/>
    </xf>
    <xf numFmtId="0" fontId="0" fillId="7" borderId="0" xfId="0" applyFill="1" applyBorder="1">
      <alignment vertical="center"/>
    </xf>
    <xf numFmtId="0" fontId="4" fillId="7" borderId="0" xfId="0" applyFont="1" applyFill="1" applyBorder="1">
      <alignment vertical="center"/>
    </xf>
    <xf numFmtId="179" fontId="0" fillId="7" borderId="0" xfId="0" applyNumberFormat="1" applyFont="1" applyFill="1" applyBorder="1">
      <alignment vertical="center"/>
    </xf>
    <xf numFmtId="179" fontId="0" fillId="7" borderId="0" xfId="0" applyNumberFormat="1" applyFill="1" applyBorder="1">
      <alignment vertical="center"/>
    </xf>
    <xf numFmtId="0" fontId="0" fillId="10" borderId="0" xfId="0" applyFill="1" applyBorder="1">
      <alignment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176" fontId="0" fillId="0" borderId="1" xfId="0" applyNumberFormat="1" applyFill="1" applyBorder="1">
      <alignment vertical="center"/>
    </xf>
    <xf numFmtId="10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179" fontId="0" fillId="0" borderId="1" xfId="0" applyNumberFormat="1" applyFill="1" applyBorder="1">
      <alignment vertical="center"/>
    </xf>
    <xf numFmtId="0" fontId="0" fillId="0" borderId="9" xfId="0" applyFill="1" applyBorder="1">
      <alignment vertical="center"/>
    </xf>
    <xf numFmtId="176" fontId="0" fillId="3" borderId="1" xfId="0" applyNumberFormat="1" applyFill="1" applyBorder="1">
      <alignment vertical="center"/>
    </xf>
    <xf numFmtId="10" fontId="0" fillId="3" borderId="1" xfId="0" applyNumberFormat="1" applyFill="1" applyBorder="1">
      <alignment vertical="center"/>
    </xf>
    <xf numFmtId="178" fontId="0" fillId="3" borderId="1" xfId="0" applyNumberFormat="1" applyFill="1" applyBorder="1">
      <alignment vertical="center"/>
    </xf>
    <xf numFmtId="179" fontId="0" fillId="3" borderId="1" xfId="0" applyNumberFormat="1" applyFill="1" applyBorder="1">
      <alignment vertical="center"/>
    </xf>
    <xf numFmtId="0" fontId="0" fillId="3" borderId="9" xfId="0" applyFill="1" applyBorder="1">
      <alignment vertical="center"/>
    </xf>
    <xf numFmtId="176" fontId="0" fillId="4" borderId="1" xfId="0" applyNumberFormat="1" applyFill="1" applyBorder="1">
      <alignment vertical="center"/>
    </xf>
    <xf numFmtId="10" fontId="0" fillId="4" borderId="1" xfId="0" applyNumberFormat="1" applyFill="1" applyBorder="1">
      <alignment vertical="center"/>
    </xf>
    <xf numFmtId="178" fontId="0" fillId="4" borderId="1" xfId="0" applyNumberFormat="1" applyFill="1" applyBorder="1">
      <alignment vertical="center"/>
    </xf>
    <xf numFmtId="179" fontId="0" fillId="4" borderId="1" xfId="0" applyNumberFormat="1" applyFill="1" applyBorder="1">
      <alignment vertical="center"/>
    </xf>
    <xf numFmtId="177" fontId="0" fillId="4" borderId="1" xfId="0" applyNumberFormat="1" applyFill="1" applyBorder="1">
      <alignment vertical="center"/>
    </xf>
    <xf numFmtId="0" fontId="0" fillId="4" borderId="9" xfId="0" applyFill="1" applyBorder="1">
      <alignment vertical="center"/>
    </xf>
    <xf numFmtId="178" fontId="0" fillId="0" borderId="11" xfId="0" applyNumberFormat="1" applyFill="1" applyBorder="1">
      <alignment vertical="center"/>
    </xf>
    <xf numFmtId="0" fontId="0" fillId="0" borderId="5" xfId="0" applyFill="1" applyBorder="1">
      <alignment vertical="center"/>
    </xf>
    <xf numFmtId="178" fontId="0" fillId="0" borderId="2" xfId="0" applyNumberFormat="1" applyFill="1" applyBorder="1">
      <alignment vertical="center"/>
    </xf>
    <xf numFmtId="0" fontId="5" fillId="0" borderId="1" xfId="0" applyFont="1" applyFill="1" applyBorder="1">
      <alignment vertical="center"/>
    </xf>
    <xf numFmtId="178" fontId="0" fillId="4" borderId="2" xfId="0" applyNumberFormat="1" applyFill="1" applyBorder="1">
      <alignment vertical="center"/>
    </xf>
    <xf numFmtId="0" fontId="0" fillId="3" borderId="11" xfId="0" applyFill="1" applyBorder="1">
      <alignment vertical="center"/>
    </xf>
    <xf numFmtId="0" fontId="6" fillId="0" borderId="0" xfId="0" applyFont="1" applyFill="1" applyBorder="1" applyAlignment="1">
      <alignment vertical="top"/>
    </xf>
    <xf numFmtId="0" fontId="7" fillId="0" borderId="0" xfId="0" applyFont="1" applyFill="1" applyBorder="1" applyAlignment="1"/>
    <xf numFmtId="0" fontId="8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horizontal="left" vertical="top"/>
    </xf>
    <xf numFmtId="180" fontId="8" fillId="0" borderId="0" xfId="0" applyNumberFormat="1" applyFont="1" applyFill="1" applyBorder="1" applyAlignment="1">
      <alignment vertical="center"/>
    </xf>
    <xf numFmtId="181" fontId="8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/>
    <xf numFmtId="177" fontId="0" fillId="0" borderId="0" xfId="0" applyNumberFormat="1" applyFill="1" applyBorder="1">
      <alignment vertical="center"/>
    </xf>
    <xf numFmtId="0" fontId="10" fillId="0" borderId="0" xfId="0" applyFont="1" applyFill="1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7" fontId="12" fillId="0" borderId="1" xfId="0" applyNumberFormat="1" applyFont="1" applyFill="1" applyBorder="1" applyAlignment="1">
      <alignment horizontal="center" vertical="center"/>
    </xf>
    <xf numFmtId="10" fontId="12" fillId="0" borderId="1" xfId="3" applyNumberFormat="1" applyFont="1" applyBorder="1" applyAlignment="1">
      <alignment horizontal="center" vertical="center"/>
    </xf>
    <xf numFmtId="10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82" fontId="13" fillId="0" borderId="1" xfId="0" applyNumberFormat="1" applyFont="1" applyFill="1" applyBorder="1" applyAlignment="1">
      <alignment horizontal="center" vertical="center"/>
    </xf>
    <xf numFmtId="10" fontId="13" fillId="0" borderId="1" xfId="3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7" fontId="2" fillId="0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7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>
      <alignment vertical="center"/>
    </xf>
    <xf numFmtId="8" fontId="10" fillId="0" borderId="1" xfId="0" applyNumberFormat="1" applyFont="1" applyFill="1" applyBorder="1">
      <alignment vertical="center"/>
    </xf>
    <xf numFmtId="10" fontId="10" fillId="0" borderId="1" xfId="0" applyNumberFormat="1" applyFont="1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83" fontId="0" fillId="0" borderId="1" xfId="3" applyNumberFormat="1" applyFill="1" applyBorder="1" applyAlignment="1">
      <alignment horizontal="center" vertical="center"/>
    </xf>
    <xf numFmtId="179" fontId="0" fillId="10" borderId="1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0" fontId="0" fillId="3" borderId="5" xfId="3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0" fontId="0" fillId="11" borderId="1" xfId="3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10" fontId="0" fillId="0" borderId="11" xfId="3" applyNumberFormat="1" applyFill="1" applyBorder="1" applyAlignment="1">
      <alignment horizontal="center" vertical="center"/>
    </xf>
    <xf numFmtId="10" fontId="0" fillId="0" borderId="0" xfId="3" applyNumberFormat="1" applyFill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0" fontId="0" fillId="4" borderId="1" xfId="3" applyNumberFormat="1" applyFill="1" applyBorder="1" applyAlignment="1">
      <alignment horizontal="center" vertical="center"/>
    </xf>
    <xf numFmtId="10" fontId="0" fillId="3" borderId="1" xfId="3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0" fontId="0" fillId="7" borderId="1" xfId="3" applyNumberFormat="1" applyFill="1" applyBorder="1" applyAlignment="1">
      <alignment horizontal="center" vertical="center"/>
    </xf>
    <xf numFmtId="10" fontId="4" fillId="4" borderId="1" xfId="3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84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18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84" fontId="0" fillId="4" borderId="2" xfId="0" applyNumberFormat="1" applyFill="1" applyBorder="1" applyAlignment="1">
      <alignment horizontal="center" vertical="center"/>
    </xf>
    <xf numFmtId="0" fontId="0" fillId="12" borderId="0" xfId="0" applyFill="1" applyBorder="1">
      <alignment vertical="center"/>
    </xf>
    <xf numFmtId="0" fontId="0" fillId="12" borderId="0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77" fontId="0" fillId="12" borderId="1" xfId="0" applyNumberFormat="1" applyFill="1" applyBorder="1" applyAlignment="1">
      <alignment horizontal="center" vertical="center"/>
    </xf>
    <xf numFmtId="184" fontId="0" fillId="12" borderId="2" xfId="0" applyNumberFormat="1" applyFill="1" applyBorder="1" applyAlignment="1">
      <alignment horizontal="center" vertical="center"/>
    </xf>
    <xf numFmtId="10" fontId="0" fillId="0" borderId="0" xfId="3" applyNumberFormat="1" applyFont="1" applyFill="1">
      <alignment vertical="center"/>
    </xf>
    <xf numFmtId="184" fontId="0" fillId="4" borderId="2" xfId="0" applyNumberFormat="1" applyFill="1" applyBorder="1" applyAlignment="1">
      <alignment horizontal="right" vertical="center"/>
    </xf>
    <xf numFmtId="184" fontId="0" fillId="12" borderId="2" xfId="0" applyNumberFormat="1" applyFill="1" applyBorder="1" applyAlignment="1">
      <alignment horizontal="right" vertical="center"/>
    </xf>
    <xf numFmtId="10" fontId="0" fillId="12" borderId="0" xfId="3" applyNumberFormat="1" applyFont="1" applyFill="1">
      <alignment vertical="center"/>
    </xf>
    <xf numFmtId="179" fontId="0" fillId="12" borderId="0" xfId="0" applyNumberFormat="1" applyFill="1" applyBorder="1" applyAlignment="1">
      <alignment horizontal="center" vertical="center"/>
    </xf>
    <xf numFmtId="179" fontId="0" fillId="12" borderId="1" xfId="0" applyNumberFormat="1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178" fontId="0" fillId="0" borderId="0" xfId="0" applyNumberFormat="1" applyFill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185" fontId="0" fillId="0" borderId="1" xfId="0" applyNumberFormat="1" applyFill="1" applyBorder="1" applyAlignment="1">
      <alignment horizontal="center" vertical="center"/>
    </xf>
    <xf numFmtId="185" fontId="0" fillId="3" borderId="1" xfId="0" applyNumberFormat="1" applyFill="1" applyBorder="1" applyAlignment="1">
      <alignment horizontal="center" vertical="center"/>
    </xf>
    <xf numFmtId="177" fontId="0" fillId="3" borderId="0" xfId="0" applyNumberFormat="1" applyFill="1" applyBorder="1">
      <alignment vertical="center"/>
    </xf>
    <xf numFmtId="177" fontId="0" fillId="7" borderId="1" xfId="0" applyNumberFormat="1" applyFill="1" applyBorder="1">
      <alignment vertical="center"/>
    </xf>
    <xf numFmtId="184" fontId="0" fillId="4" borderId="1" xfId="0" applyNumberFormat="1" applyFill="1" applyBorder="1" applyAlignment="1">
      <alignment horizontal="center" vertical="center"/>
    </xf>
    <xf numFmtId="185" fontId="0" fillId="4" borderId="1" xfId="0" applyNumberFormat="1" applyFill="1" applyBorder="1" applyAlignment="1">
      <alignment horizontal="center" vertical="center"/>
    </xf>
    <xf numFmtId="177" fontId="0" fillId="4" borderId="0" xfId="0" applyNumberFormat="1" applyFill="1" applyBorder="1">
      <alignment vertical="center"/>
    </xf>
    <xf numFmtId="0" fontId="0" fillId="0" borderId="1" xfId="0" applyFill="1" applyBorder="1" applyAlignment="1">
      <alignment horizontal="center"/>
    </xf>
    <xf numFmtId="178" fontId="0" fillId="3" borderId="2" xfId="0" applyNumberFormat="1" applyFill="1" applyBorder="1">
      <alignment vertical="center"/>
    </xf>
    <xf numFmtId="10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9" fontId="0" fillId="0" borderId="1" xfId="3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178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178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84" fontId="0" fillId="11" borderId="3" xfId="0" applyNumberForma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178" fontId="0" fillId="3" borderId="15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84" fontId="0" fillId="11" borderId="5" xfId="0" applyNumberFormat="1" applyFill="1" applyBorder="1" applyAlignment="1">
      <alignment horizontal="center" vertical="center"/>
    </xf>
    <xf numFmtId="184" fontId="0" fillId="11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176" fontId="0" fillId="7" borderId="1" xfId="0" applyNumberFormat="1" applyFill="1" applyBorder="1">
      <alignment vertical="center"/>
    </xf>
    <xf numFmtId="10" fontId="0" fillId="7" borderId="1" xfId="0" applyNumberFormat="1" applyFill="1" applyBorder="1">
      <alignment vertical="center"/>
    </xf>
    <xf numFmtId="178" fontId="0" fillId="7" borderId="1" xfId="0" applyNumberFormat="1" applyFill="1" applyBorder="1">
      <alignment vertical="center"/>
    </xf>
    <xf numFmtId="179" fontId="0" fillId="7" borderId="1" xfId="0" applyNumberFormat="1" applyFill="1" applyBorder="1">
      <alignment vertical="center"/>
    </xf>
    <xf numFmtId="178" fontId="0" fillId="7" borderId="1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84" fontId="0" fillId="7" borderId="1" xfId="0" applyNumberFormat="1" applyFill="1" applyBorder="1" applyAlignment="1">
      <alignment horizontal="center" vertical="center"/>
    </xf>
    <xf numFmtId="184" fontId="0" fillId="0" borderId="3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84" fontId="0" fillId="11" borderId="4" xfId="0" applyNumberFormat="1" applyFill="1" applyBorder="1" applyAlignment="1">
      <alignment horizontal="center" vertical="center"/>
    </xf>
    <xf numFmtId="184" fontId="0" fillId="0" borderId="4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84" fontId="0" fillId="0" borderId="5" xfId="0" applyNumberFormat="1" applyFill="1" applyBorder="1" applyAlignment="1">
      <alignment horizontal="center" vertical="center"/>
    </xf>
    <xf numFmtId="184" fontId="0" fillId="3" borderId="3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178" fontId="0" fillId="3" borderId="17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184" fontId="0" fillId="3" borderId="4" xfId="0" applyNumberFormat="1" applyFill="1" applyBorder="1" applyAlignment="1">
      <alignment horizontal="center" vertical="center"/>
    </xf>
    <xf numFmtId="184" fontId="0" fillId="3" borderId="5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right" vertical="center"/>
    </xf>
    <xf numFmtId="184" fontId="0" fillId="0" borderId="1" xfId="0" applyNumberFormat="1" applyFill="1" applyBorder="1" applyAlignment="1">
      <alignment horizontal="right" vertical="center"/>
    </xf>
    <xf numFmtId="178" fontId="0" fillId="0" borderId="14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184" fontId="0" fillId="11" borderId="19" xfId="0" applyNumberFormat="1" applyFill="1" applyBorder="1" applyAlignment="1">
      <alignment horizontal="center" vertical="center"/>
    </xf>
    <xf numFmtId="184" fontId="0" fillId="0" borderId="19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/>
    </xf>
    <xf numFmtId="178" fontId="0" fillId="0" borderId="15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84" fontId="0" fillId="11" borderId="15" xfId="0" applyNumberFormat="1" applyFill="1" applyBorder="1" applyAlignment="1">
      <alignment horizontal="center" vertical="center"/>
    </xf>
    <xf numFmtId="184" fontId="0" fillId="0" borderId="2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>
      <alignment vertical="center"/>
    </xf>
    <xf numFmtId="0" fontId="0" fillId="2" borderId="1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eetMetadata" Target="metadata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customXml" Target="../customXml/item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0"/>
  <sheetViews>
    <sheetView tabSelected="1" workbookViewId="0">
      <selection activeCell="L136" sqref="L136"/>
    </sheetView>
  </sheetViews>
  <sheetFormatPr defaultColWidth="9" defaultRowHeight="13.5"/>
  <cols>
    <col min="1" max="1" width="18" customWidth="1"/>
    <col min="2" max="2" width="17.25" customWidth="1"/>
    <col min="3" max="3" width="13.25" customWidth="1"/>
    <col min="4" max="4" width="12.375" customWidth="1"/>
    <col min="5" max="5" width="16.625" customWidth="1"/>
    <col min="6" max="6" width="14.5" customWidth="1"/>
    <col min="7" max="7" width="14.625" customWidth="1"/>
    <col min="8" max="8" width="12.875" customWidth="1"/>
    <col min="9" max="9" width="15.125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6" t="s">
        <v>9</v>
      </c>
      <c r="B2" s="6" t="s">
        <v>10</v>
      </c>
      <c r="C2" s="6">
        <v>1</v>
      </c>
      <c r="D2" s="78">
        <v>63.02</v>
      </c>
      <c r="E2" s="6">
        <v>100</v>
      </c>
      <c r="F2" s="78">
        <v>23763.26</v>
      </c>
      <c r="G2" s="78">
        <v>237.63</v>
      </c>
      <c r="H2" s="78">
        <v>239.4</v>
      </c>
      <c r="I2" s="78">
        <v>1.76</v>
      </c>
    </row>
    <row r="3" spans="1:9">
      <c r="A3" s="6" t="s">
        <v>9</v>
      </c>
      <c r="B3" s="6" t="s">
        <v>11</v>
      </c>
      <c r="C3" s="6">
        <v>1</v>
      </c>
      <c r="D3" s="78">
        <v>63.02</v>
      </c>
      <c r="E3" s="6">
        <v>90</v>
      </c>
      <c r="F3" s="78">
        <v>9616.25</v>
      </c>
      <c r="G3" s="78">
        <v>106.85</v>
      </c>
      <c r="H3" s="78">
        <v>107.34</v>
      </c>
      <c r="I3" s="78">
        <v>0.49</v>
      </c>
    </row>
    <row r="4" spans="1:9">
      <c r="A4" s="6" t="s">
        <v>12</v>
      </c>
      <c r="B4" s="6" t="s">
        <v>13</v>
      </c>
      <c r="C4" s="6">
        <v>0</v>
      </c>
      <c r="D4" s="78">
        <v>0</v>
      </c>
      <c r="E4" s="6">
        <v>102</v>
      </c>
      <c r="F4" s="78">
        <v>34681.21</v>
      </c>
      <c r="G4" s="78">
        <v>340.01</v>
      </c>
      <c r="H4" s="78">
        <v>340.01</v>
      </c>
      <c r="I4" s="78">
        <v>0</v>
      </c>
    </row>
    <row r="5" spans="1:9">
      <c r="A5" s="6" t="s">
        <v>14</v>
      </c>
      <c r="B5" s="6" t="s">
        <v>15</v>
      </c>
      <c r="C5" s="6">
        <v>4</v>
      </c>
      <c r="D5" s="78">
        <v>118.24</v>
      </c>
      <c r="E5" s="6">
        <v>321</v>
      </c>
      <c r="F5" s="78">
        <v>86997.92</v>
      </c>
      <c r="G5" s="78">
        <v>271.02</v>
      </c>
      <c r="H5" s="78">
        <v>274.07</v>
      </c>
      <c r="I5" s="78">
        <v>3.05</v>
      </c>
    </row>
    <row r="6" spans="1:9">
      <c r="A6" s="6" t="s">
        <v>12</v>
      </c>
      <c r="B6" s="6" t="s">
        <v>16</v>
      </c>
      <c r="C6" s="6">
        <v>0</v>
      </c>
      <c r="D6" s="78">
        <v>0</v>
      </c>
      <c r="E6" s="6">
        <v>0</v>
      </c>
      <c r="F6" s="78">
        <v>0</v>
      </c>
      <c r="G6" s="78" t="e">
        <v>#DIV/0!</v>
      </c>
      <c r="H6" s="78" t="e">
        <v>#DIV/0!</v>
      </c>
      <c r="I6" s="78" t="e">
        <v>#DIV/0!</v>
      </c>
    </row>
    <row r="7" spans="1:9">
      <c r="A7" s="6" t="s">
        <v>12</v>
      </c>
      <c r="B7" s="6" t="s">
        <v>17</v>
      </c>
      <c r="C7" s="6">
        <v>0</v>
      </c>
      <c r="D7" s="78">
        <v>0</v>
      </c>
      <c r="E7" s="6">
        <v>242</v>
      </c>
      <c r="F7" s="78">
        <v>59793.31</v>
      </c>
      <c r="G7" s="78">
        <v>247.08</v>
      </c>
      <c r="H7" s="78">
        <v>247.08</v>
      </c>
      <c r="I7" s="78">
        <v>0</v>
      </c>
    </row>
    <row r="8" spans="1:9">
      <c r="A8" s="6" t="s">
        <v>12</v>
      </c>
      <c r="B8" s="6" t="s">
        <v>18</v>
      </c>
      <c r="C8" s="6">
        <v>0</v>
      </c>
      <c r="D8" s="78">
        <v>0</v>
      </c>
      <c r="E8" s="6">
        <v>0</v>
      </c>
      <c r="F8" s="78">
        <v>0</v>
      </c>
      <c r="G8" s="78" t="e">
        <v>#DIV/0!</v>
      </c>
      <c r="H8" s="78" t="e">
        <v>#DIV/0!</v>
      </c>
      <c r="I8" s="78" t="e">
        <v>#DIV/0!</v>
      </c>
    </row>
    <row r="9" spans="1:9">
      <c r="A9" s="6" t="s">
        <v>19</v>
      </c>
      <c r="B9" s="6" t="s">
        <v>20</v>
      </c>
      <c r="C9" s="6">
        <v>653</v>
      </c>
      <c r="D9" s="78">
        <v>34360.5</v>
      </c>
      <c r="E9" s="6">
        <v>1128</v>
      </c>
      <c r="F9" s="78">
        <v>122134.95</v>
      </c>
      <c r="G9" s="78">
        <v>108.28</v>
      </c>
      <c r="H9" s="78">
        <v>184.79</v>
      </c>
      <c r="I9" s="78">
        <v>76.51</v>
      </c>
    </row>
    <row r="10" spans="1:9">
      <c r="A10" s="6" t="s">
        <v>19</v>
      </c>
      <c r="B10" s="6" t="s">
        <v>21</v>
      </c>
      <c r="C10" s="6">
        <v>0</v>
      </c>
      <c r="D10" s="78">
        <v>0</v>
      </c>
      <c r="E10" s="6">
        <v>0</v>
      </c>
      <c r="F10" s="78">
        <v>0</v>
      </c>
      <c r="G10" s="78" t="e">
        <v>#DIV/0!</v>
      </c>
      <c r="H10" s="78" t="e">
        <v>#DIV/0!</v>
      </c>
      <c r="I10" s="78" t="e">
        <v>#DIV/0!</v>
      </c>
    </row>
    <row r="11" spans="1:9">
      <c r="A11" s="6" t="s">
        <v>19</v>
      </c>
      <c r="B11" s="6" t="s">
        <v>22</v>
      </c>
      <c r="C11" s="6">
        <v>0</v>
      </c>
      <c r="D11" s="78">
        <v>0</v>
      </c>
      <c r="E11" s="6">
        <v>9</v>
      </c>
      <c r="F11" s="78">
        <v>2368.5</v>
      </c>
      <c r="G11" s="78">
        <v>263.17</v>
      </c>
      <c r="H11" s="78">
        <v>263.17</v>
      </c>
      <c r="I11" s="78">
        <v>0</v>
      </c>
    </row>
    <row r="12" spans="1:9">
      <c r="A12" s="6" t="s">
        <v>19</v>
      </c>
      <c r="B12" s="6" t="s">
        <v>23</v>
      </c>
      <c r="C12" s="6">
        <v>0</v>
      </c>
      <c r="D12" s="78">
        <v>0</v>
      </c>
      <c r="E12" s="6">
        <v>0</v>
      </c>
      <c r="F12" s="78">
        <v>0</v>
      </c>
      <c r="G12" s="78" t="e">
        <v>#DIV/0!</v>
      </c>
      <c r="H12" s="78" t="e">
        <v>#DIV/0!</v>
      </c>
      <c r="I12" s="78" t="e">
        <v>#DIV/0!</v>
      </c>
    </row>
    <row r="13" spans="1:9">
      <c r="A13" s="6" t="s">
        <v>19</v>
      </c>
      <c r="B13" s="6" t="s">
        <v>24</v>
      </c>
      <c r="C13" s="6">
        <v>10</v>
      </c>
      <c r="D13" s="78">
        <v>630.2</v>
      </c>
      <c r="E13" s="6">
        <v>135</v>
      </c>
      <c r="F13" s="78">
        <v>25806.78</v>
      </c>
      <c r="G13" s="78">
        <v>191.16</v>
      </c>
      <c r="H13" s="78">
        <v>201.41</v>
      </c>
      <c r="I13" s="78">
        <v>10.25</v>
      </c>
    </row>
    <row r="14" spans="1:9">
      <c r="A14" s="6" t="s">
        <v>19</v>
      </c>
      <c r="B14" s="6" t="s">
        <v>25</v>
      </c>
      <c r="C14" s="6">
        <v>6</v>
      </c>
      <c r="D14" s="78">
        <v>87.6</v>
      </c>
      <c r="E14" s="6">
        <v>191</v>
      </c>
      <c r="F14" s="78">
        <v>46614.68</v>
      </c>
      <c r="G14" s="78">
        <v>244.06</v>
      </c>
      <c r="H14" s="78">
        <v>251.5</v>
      </c>
      <c r="I14" s="78">
        <v>7.44</v>
      </c>
    </row>
    <row r="15" spans="1:9">
      <c r="A15" s="6" t="s">
        <v>19</v>
      </c>
      <c r="B15" s="6" t="s">
        <v>26</v>
      </c>
      <c r="C15" s="6">
        <v>266</v>
      </c>
      <c r="D15" s="78">
        <v>12068.33</v>
      </c>
      <c r="E15" s="6">
        <v>325</v>
      </c>
      <c r="F15" s="78">
        <v>35469.28</v>
      </c>
      <c r="G15" s="78">
        <v>109.14</v>
      </c>
      <c r="H15" s="78">
        <v>396.63</v>
      </c>
      <c r="I15" s="78">
        <v>287.49</v>
      </c>
    </row>
    <row r="16" spans="1:9">
      <c r="A16" s="6" t="s">
        <v>19</v>
      </c>
      <c r="B16" s="6" t="s">
        <v>27</v>
      </c>
      <c r="C16" s="6">
        <v>0</v>
      </c>
      <c r="D16" s="78">
        <v>0</v>
      </c>
      <c r="E16" s="6">
        <v>0</v>
      </c>
      <c r="F16" s="78">
        <v>0</v>
      </c>
      <c r="G16" s="78" t="e">
        <v>#DIV/0!</v>
      </c>
      <c r="H16" s="78" t="e">
        <v>#DIV/0!</v>
      </c>
      <c r="I16" s="78" t="e">
        <v>#DIV/0!</v>
      </c>
    </row>
    <row r="17" spans="1:9">
      <c r="A17" s="6" t="s">
        <v>19</v>
      </c>
      <c r="B17" s="6" t="s">
        <v>28</v>
      </c>
      <c r="C17" s="6">
        <v>42</v>
      </c>
      <c r="D17" s="78">
        <v>1543.99</v>
      </c>
      <c r="E17" s="6">
        <v>42</v>
      </c>
      <c r="F17" s="78">
        <v>1543.99</v>
      </c>
      <c r="G17" s="78">
        <v>36.76</v>
      </c>
      <c r="H17" s="78" t="e">
        <v>#DIV/0!</v>
      </c>
      <c r="I17" s="78" t="e">
        <v>#DIV/0!</v>
      </c>
    </row>
    <row r="18" spans="1:9">
      <c r="A18" s="6" t="s">
        <v>19</v>
      </c>
      <c r="B18" s="6" t="s">
        <v>29</v>
      </c>
      <c r="C18" s="6">
        <v>170</v>
      </c>
      <c r="D18" s="78">
        <v>8129.58</v>
      </c>
      <c r="E18" s="6">
        <v>309</v>
      </c>
      <c r="F18" s="78">
        <v>38544.59</v>
      </c>
      <c r="G18" s="78">
        <v>124.74</v>
      </c>
      <c r="H18" s="78">
        <v>218.81</v>
      </c>
      <c r="I18" s="78">
        <v>94.07</v>
      </c>
    </row>
    <row r="19" spans="1:9">
      <c r="A19" s="6" t="s">
        <v>30</v>
      </c>
      <c r="B19" s="6" t="s">
        <v>31</v>
      </c>
      <c r="C19" s="6">
        <v>83</v>
      </c>
      <c r="D19" s="78">
        <v>2678.35</v>
      </c>
      <c r="E19" s="6">
        <v>232</v>
      </c>
      <c r="F19" s="78">
        <v>43449.76</v>
      </c>
      <c r="G19" s="78">
        <v>187.28</v>
      </c>
      <c r="H19" s="78">
        <v>273.63</v>
      </c>
      <c r="I19" s="78">
        <v>86.35</v>
      </c>
    </row>
    <row r="20" spans="1:9">
      <c r="A20" s="6" t="s">
        <v>30</v>
      </c>
      <c r="B20" s="6" t="s">
        <v>32</v>
      </c>
      <c r="C20" s="6">
        <v>0</v>
      </c>
      <c r="D20" s="78">
        <v>0</v>
      </c>
      <c r="E20" s="6">
        <v>57</v>
      </c>
      <c r="F20" s="78">
        <v>12095.76</v>
      </c>
      <c r="G20" s="78">
        <v>212.21</v>
      </c>
      <c r="H20" s="78">
        <v>212.21</v>
      </c>
      <c r="I20" s="78">
        <v>0</v>
      </c>
    </row>
    <row r="21" spans="1:9">
      <c r="A21" s="6" t="s">
        <v>30</v>
      </c>
      <c r="B21" s="6" t="s">
        <v>33</v>
      </c>
      <c r="C21" s="6">
        <v>1</v>
      </c>
      <c r="D21" s="78">
        <v>31.51</v>
      </c>
      <c r="E21" s="6">
        <v>38</v>
      </c>
      <c r="F21" s="78">
        <v>11310.24</v>
      </c>
      <c r="G21" s="78">
        <v>297.64</v>
      </c>
      <c r="H21" s="78">
        <v>304.83</v>
      </c>
      <c r="I21" s="78">
        <v>7.19</v>
      </c>
    </row>
    <row r="22" spans="1:9">
      <c r="A22" s="6" t="s">
        <v>30</v>
      </c>
      <c r="B22" s="6" t="s">
        <v>34</v>
      </c>
      <c r="C22" s="6">
        <v>15</v>
      </c>
      <c r="D22" s="78">
        <v>472.65</v>
      </c>
      <c r="E22" s="6">
        <v>167</v>
      </c>
      <c r="F22" s="78">
        <v>40095.1</v>
      </c>
      <c r="G22" s="78">
        <v>240.09</v>
      </c>
      <c r="H22" s="78">
        <v>260.67</v>
      </c>
      <c r="I22" s="78">
        <v>20.58</v>
      </c>
    </row>
    <row r="23" spans="1:9">
      <c r="A23" s="6" t="s">
        <v>30</v>
      </c>
      <c r="B23" s="6" t="s">
        <v>35</v>
      </c>
      <c r="C23" s="6">
        <v>0</v>
      </c>
      <c r="D23" s="78">
        <v>0</v>
      </c>
      <c r="E23" s="6">
        <v>0</v>
      </c>
      <c r="F23" s="78">
        <v>0</v>
      </c>
      <c r="G23" s="78" t="e">
        <v>#DIV/0!</v>
      </c>
      <c r="H23" s="78" t="e">
        <v>#DIV/0!</v>
      </c>
      <c r="I23" s="78" t="e">
        <v>#DIV/0!</v>
      </c>
    </row>
    <row r="24" spans="1:9">
      <c r="A24" s="6" t="s">
        <v>30</v>
      </c>
      <c r="B24" s="6" t="s">
        <v>36</v>
      </c>
      <c r="C24" s="6">
        <v>1</v>
      </c>
      <c r="D24" s="78">
        <v>63.02</v>
      </c>
      <c r="E24" s="6">
        <v>1</v>
      </c>
      <c r="F24" s="78">
        <v>63.02</v>
      </c>
      <c r="G24" s="78">
        <v>63.02</v>
      </c>
      <c r="H24" s="78" t="e">
        <v>#DIV/0!</v>
      </c>
      <c r="I24" s="78" t="e">
        <v>#DIV/0!</v>
      </c>
    </row>
    <row r="25" spans="1:9">
      <c r="A25" s="6" t="s">
        <v>30</v>
      </c>
      <c r="B25" s="6" t="s">
        <v>37</v>
      </c>
      <c r="C25" s="6">
        <v>0</v>
      </c>
      <c r="D25" s="78">
        <v>0</v>
      </c>
      <c r="E25" s="6">
        <v>146</v>
      </c>
      <c r="F25" s="78">
        <v>39195.82</v>
      </c>
      <c r="G25" s="78">
        <v>268.46</v>
      </c>
      <c r="H25" s="78">
        <v>268.46</v>
      </c>
      <c r="I25" s="78">
        <v>0</v>
      </c>
    </row>
    <row r="26" spans="1:9">
      <c r="A26" s="6" t="s">
        <v>30</v>
      </c>
      <c r="B26" s="6" t="s">
        <v>38</v>
      </c>
      <c r="C26" s="6">
        <v>0</v>
      </c>
      <c r="D26" s="78">
        <v>0</v>
      </c>
      <c r="E26" s="6">
        <v>35</v>
      </c>
      <c r="F26" s="78">
        <v>10601.08</v>
      </c>
      <c r="G26" s="78">
        <v>302.89</v>
      </c>
      <c r="H26" s="78">
        <v>302.89</v>
      </c>
      <c r="I26" s="78">
        <v>0</v>
      </c>
    </row>
    <row r="27" spans="1:9">
      <c r="A27" s="6" t="s">
        <v>30</v>
      </c>
      <c r="B27" s="6" t="s">
        <v>39</v>
      </c>
      <c r="C27" s="6">
        <v>62</v>
      </c>
      <c r="D27" s="78">
        <v>2457.78</v>
      </c>
      <c r="E27" s="6">
        <v>73</v>
      </c>
      <c r="F27" s="78">
        <v>5521.81</v>
      </c>
      <c r="G27" s="78">
        <v>75.64</v>
      </c>
      <c r="H27" s="78">
        <v>278.55</v>
      </c>
      <c r="I27" s="78">
        <v>202.91</v>
      </c>
    </row>
    <row r="28" spans="1:9">
      <c r="A28" s="6" t="s">
        <v>30</v>
      </c>
      <c r="B28" s="6" t="s">
        <v>40</v>
      </c>
      <c r="C28" s="6">
        <v>0</v>
      </c>
      <c r="D28" s="78">
        <v>0</v>
      </c>
      <c r="E28" s="6">
        <v>111</v>
      </c>
      <c r="F28" s="78">
        <v>34468.74</v>
      </c>
      <c r="G28" s="78">
        <v>310.53</v>
      </c>
      <c r="H28" s="78">
        <v>310.53</v>
      </c>
      <c r="I28" s="78">
        <v>0</v>
      </c>
    </row>
    <row r="29" spans="1:9">
      <c r="A29" s="6" t="s">
        <v>30</v>
      </c>
      <c r="B29" s="6" t="s">
        <v>41</v>
      </c>
      <c r="C29" s="6">
        <v>0</v>
      </c>
      <c r="D29" s="78">
        <v>0</v>
      </c>
      <c r="E29" s="6">
        <v>0</v>
      </c>
      <c r="F29" s="78">
        <v>0</v>
      </c>
      <c r="G29" s="78" t="e">
        <v>#DIV/0!</v>
      </c>
      <c r="H29" s="78" t="e">
        <v>#DIV/0!</v>
      </c>
      <c r="I29" s="78" t="e">
        <v>#DIV/0!</v>
      </c>
    </row>
    <row r="30" spans="1:9">
      <c r="A30" s="6" t="s">
        <v>30</v>
      </c>
      <c r="B30" s="6" t="s">
        <v>42</v>
      </c>
      <c r="C30" s="6">
        <v>0</v>
      </c>
      <c r="D30" s="78">
        <v>0</v>
      </c>
      <c r="E30" s="6">
        <v>286</v>
      </c>
      <c r="F30" s="78">
        <v>40496.98</v>
      </c>
      <c r="G30" s="78">
        <v>141.6</v>
      </c>
      <c r="H30" s="78">
        <v>141.6</v>
      </c>
      <c r="I30" s="78">
        <v>0</v>
      </c>
    </row>
    <row r="31" spans="1:9">
      <c r="A31" s="6" t="s">
        <v>30</v>
      </c>
      <c r="B31" s="6" t="s">
        <v>43</v>
      </c>
      <c r="C31" s="6">
        <v>0</v>
      </c>
      <c r="D31" s="78">
        <v>0</v>
      </c>
      <c r="E31" s="6">
        <v>279</v>
      </c>
      <c r="F31" s="78">
        <v>64412.93</v>
      </c>
      <c r="G31" s="78">
        <v>230.87</v>
      </c>
      <c r="H31" s="78">
        <v>230.87</v>
      </c>
      <c r="I31" s="78">
        <v>0</v>
      </c>
    </row>
    <row r="32" spans="1:9">
      <c r="A32" s="6" t="s">
        <v>30</v>
      </c>
      <c r="B32" s="6" t="s">
        <v>44</v>
      </c>
      <c r="C32" s="6">
        <v>0</v>
      </c>
      <c r="D32" s="78">
        <v>0</v>
      </c>
      <c r="E32" s="6">
        <v>0</v>
      </c>
      <c r="F32" s="78">
        <v>0</v>
      </c>
      <c r="G32" s="78" t="e">
        <v>#DIV/0!</v>
      </c>
      <c r="H32" s="78" t="e">
        <v>#DIV/0!</v>
      </c>
      <c r="I32" s="78" t="e">
        <v>#DIV/0!</v>
      </c>
    </row>
    <row r="33" spans="1:9">
      <c r="A33" s="6" t="s">
        <v>30</v>
      </c>
      <c r="B33" s="6" t="s">
        <v>45</v>
      </c>
      <c r="C33" s="6">
        <v>45</v>
      </c>
      <c r="D33" s="78">
        <v>1417.95</v>
      </c>
      <c r="E33" s="6">
        <v>46</v>
      </c>
      <c r="F33" s="78">
        <v>1586</v>
      </c>
      <c r="G33" s="78">
        <v>34.48</v>
      </c>
      <c r="H33" s="78">
        <v>168.05</v>
      </c>
      <c r="I33" s="78">
        <v>133.57</v>
      </c>
    </row>
    <row r="34" spans="1:9">
      <c r="A34" s="6" t="s">
        <v>46</v>
      </c>
      <c r="B34" s="6" t="s">
        <v>47</v>
      </c>
      <c r="C34" s="6">
        <v>193</v>
      </c>
      <c r="D34" s="78">
        <v>6298.33</v>
      </c>
      <c r="E34" s="6">
        <v>291</v>
      </c>
      <c r="F34" s="78">
        <v>79244.29</v>
      </c>
      <c r="G34" s="78">
        <v>272.32</v>
      </c>
      <c r="H34" s="78">
        <v>744.35</v>
      </c>
      <c r="I34" s="78">
        <v>472.03</v>
      </c>
    </row>
    <row r="35" spans="1:9">
      <c r="A35" s="6" t="s">
        <v>46</v>
      </c>
      <c r="B35" s="6" t="s">
        <v>48</v>
      </c>
      <c r="C35" s="6">
        <v>249</v>
      </c>
      <c r="D35" s="78">
        <v>14294.09</v>
      </c>
      <c r="E35" s="6">
        <v>726</v>
      </c>
      <c r="F35" s="78">
        <v>79699.05</v>
      </c>
      <c r="G35" s="78">
        <v>109.78</v>
      </c>
      <c r="H35" s="78">
        <v>137.12</v>
      </c>
      <c r="I35" s="78">
        <v>27.34</v>
      </c>
    </row>
    <row r="36" spans="1:9">
      <c r="A36" s="6" t="s">
        <v>46</v>
      </c>
      <c r="B36" s="6" t="s">
        <v>49</v>
      </c>
      <c r="C36" s="6">
        <v>16</v>
      </c>
      <c r="D36" s="78">
        <v>819.26</v>
      </c>
      <c r="E36" s="6">
        <v>117</v>
      </c>
      <c r="F36" s="78">
        <v>42651.43</v>
      </c>
      <c r="G36" s="78">
        <v>364.54</v>
      </c>
      <c r="H36" s="78">
        <v>414.18</v>
      </c>
      <c r="I36" s="78">
        <v>49.64</v>
      </c>
    </row>
    <row r="37" spans="1:9">
      <c r="A37" s="6" t="s">
        <v>50</v>
      </c>
      <c r="B37" s="6" t="s">
        <v>51</v>
      </c>
      <c r="C37" s="6">
        <v>0</v>
      </c>
      <c r="D37" s="78">
        <v>0</v>
      </c>
      <c r="E37" s="6">
        <v>477</v>
      </c>
      <c r="F37" s="78">
        <v>131295.71</v>
      </c>
      <c r="G37" s="78">
        <v>275.25</v>
      </c>
      <c r="H37" s="78">
        <v>275.25</v>
      </c>
      <c r="I37" s="78">
        <v>0</v>
      </c>
    </row>
    <row r="38" spans="1:9">
      <c r="A38" s="6" t="s">
        <v>50</v>
      </c>
      <c r="B38" s="6" t="s">
        <v>52</v>
      </c>
      <c r="C38" s="6">
        <v>0</v>
      </c>
      <c r="D38" s="78">
        <v>0</v>
      </c>
      <c r="E38" s="6">
        <v>140</v>
      </c>
      <c r="F38" s="78">
        <v>40343.91</v>
      </c>
      <c r="G38" s="78">
        <v>288.17</v>
      </c>
      <c r="H38" s="78">
        <v>288.17</v>
      </c>
      <c r="I38" s="78">
        <v>0</v>
      </c>
    </row>
    <row r="39" spans="1:9">
      <c r="A39" s="6" t="s">
        <v>50</v>
      </c>
      <c r="B39" s="6" t="s">
        <v>53</v>
      </c>
      <c r="C39" s="6">
        <v>0</v>
      </c>
      <c r="D39" s="78">
        <v>0</v>
      </c>
      <c r="E39" s="6">
        <v>896</v>
      </c>
      <c r="F39" s="78">
        <v>220295.46</v>
      </c>
      <c r="G39" s="78">
        <v>245.87</v>
      </c>
      <c r="H39" s="78">
        <v>245.87</v>
      </c>
      <c r="I39" s="78">
        <v>0</v>
      </c>
    </row>
    <row r="40" spans="1:9">
      <c r="A40" s="6" t="s">
        <v>50</v>
      </c>
      <c r="B40" s="6" t="s">
        <v>54</v>
      </c>
      <c r="C40" s="6">
        <v>0</v>
      </c>
      <c r="D40" s="78">
        <v>0</v>
      </c>
      <c r="E40" s="6">
        <v>37</v>
      </c>
      <c r="F40" s="78">
        <v>12272.21</v>
      </c>
      <c r="G40" s="78">
        <v>331.68</v>
      </c>
      <c r="H40" s="78">
        <v>331.68</v>
      </c>
      <c r="I40" s="78">
        <v>0</v>
      </c>
    </row>
    <row r="41" spans="1:9">
      <c r="A41" s="6" t="s">
        <v>55</v>
      </c>
      <c r="B41" s="6" t="s">
        <v>56</v>
      </c>
      <c r="C41" s="6">
        <v>52</v>
      </c>
      <c r="D41" s="78">
        <v>3277.04</v>
      </c>
      <c r="E41" s="6">
        <v>154</v>
      </c>
      <c r="F41" s="78">
        <v>35277.14</v>
      </c>
      <c r="G41" s="78">
        <v>229.07</v>
      </c>
      <c r="H41" s="78">
        <v>313.73</v>
      </c>
      <c r="I41" s="78">
        <v>84.65</v>
      </c>
    </row>
    <row r="42" spans="1:9">
      <c r="A42" s="6" t="s">
        <v>55</v>
      </c>
      <c r="B42" s="6" t="s">
        <v>57</v>
      </c>
      <c r="C42" s="6">
        <v>7</v>
      </c>
      <c r="D42" s="78">
        <v>480.71</v>
      </c>
      <c r="E42" s="6">
        <v>506</v>
      </c>
      <c r="F42" s="78">
        <v>111698.24</v>
      </c>
      <c r="G42" s="78">
        <v>220.75</v>
      </c>
      <c r="H42" s="78">
        <v>222.88</v>
      </c>
      <c r="I42" s="78">
        <v>2.13</v>
      </c>
    </row>
    <row r="43" spans="1:9">
      <c r="A43" s="6" t="s">
        <v>55</v>
      </c>
      <c r="B43" s="6" t="s">
        <v>58</v>
      </c>
      <c r="C43" s="6">
        <v>0</v>
      </c>
      <c r="D43" s="78">
        <v>0</v>
      </c>
      <c r="E43" s="6">
        <v>22</v>
      </c>
      <c r="F43" s="78">
        <v>745.9</v>
      </c>
      <c r="G43" s="78">
        <v>33.9</v>
      </c>
      <c r="H43" s="78">
        <v>33.9</v>
      </c>
      <c r="I43" s="78">
        <v>0</v>
      </c>
    </row>
    <row r="44" spans="1:9">
      <c r="A44" s="6" t="s">
        <v>55</v>
      </c>
      <c r="B44" s="6" t="s">
        <v>59</v>
      </c>
      <c r="C44" s="6">
        <v>8</v>
      </c>
      <c r="D44" s="78">
        <v>311.42</v>
      </c>
      <c r="E44" s="6">
        <v>15</v>
      </c>
      <c r="F44" s="78">
        <v>1364.63</v>
      </c>
      <c r="G44" s="78">
        <v>90.98</v>
      </c>
      <c r="H44" s="78">
        <v>150.46</v>
      </c>
      <c r="I44" s="78">
        <v>59.48</v>
      </c>
    </row>
    <row r="45" spans="1:9">
      <c r="A45" s="6" t="s">
        <v>55</v>
      </c>
      <c r="B45" s="6" t="s">
        <v>60</v>
      </c>
      <c r="C45" s="6">
        <v>8</v>
      </c>
      <c r="D45" s="78">
        <v>354.67</v>
      </c>
      <c r="E45" s="6">
        <v>52</v>
      </c>
      <c r="F45" s="78">
        <v>16042.27</v>
      </c>
      <c r="G45" s="78">
        <v>308.51</v>
      </c>
      <c r="H45" s="78">
        <v>356.54</v>
      </c>
      <c r="I45" s="78">
        <v>48.03</v>
      </c>
    </row>
    <row r="46" spans="1:9">
      <c r="A46" s="6" t="s">
        <v>55</v>
      </c>
      <c r="B46" s="6" t="s">
        <v>61</v>
      </c>
      <c r="C46" s="6">
        <v>0</v>
      </c>
      <c r="D46" s="78">
        <v>0</v>
      </c>
      <c r="E46" s="6">
        <v>0</v>
      </c>
      <c r="F46" s="78">
        <v>0</v>
      </c>
      <c r="G46" s="78" t="e">
        <v>#DIV/0!</v>
      </c>
      <c r="H46" s="78" t="e">
        <v>#DIV/0!</v>
      </c>
      <c r="I46" s="78" t="e">
        <v>#DIV/0!</v>
      </c>
    </row>
    <row r="47" spans="1:9">
      <c r="A47" s="6" t="s">
        <v>55</v>
      </c>
      <c r="B47" s="6" t="s">
        <v>62</v>
      </c>
      <c r="C47" s="6">
        <v>1</v>
      </c>
      <c r="D47" s="78">
        <v>102.59</v>
      </c>
      <c r="E47" s="6">
        <v>39</v>
      </c>
      <c r="F47" s="78">
        <v>9405.25</v>
      </c>
      <c r="G47" s="78">
        <v>241.16</v>
      </c>
      <c r="H47" s="78">
        <v>244.81</v>
      </c>
      <c r="I47" s="78">
        <v>3.65</v>
      </c>
    </row>
    <row r="48" spans="1:9">
      <c r="A48" s="6" t="s">
        <v>55</v>
      </c>
      <c r="B48" s="6" t="s">
        <v>63</v>
      </c>
      <c r="C48" s="6">
        <v>13</v>
      </c>
      <c r="D48" s="78">
        <v>898.4</v>
      </c>
      <c r="E48" s="6">
        <v>75</v>
      </c>
      <c r="F48" s="78">
        <v>6435.43</v>
      </c>
      <c r="G48" s="78">
        <v>85.81</v>
      </c>
      <c r="H48" s="78">
        <v>89.31</v>
      </c>
      <c r="I48" s="78">
        <v>3.5</v>
      </c>
    </row>
    <row r="49" spans="1:9">
      <c r="A49" s="6" t="s">
        <v>55</v>
      </c>
      <c r="B49" s="6" t="s">
        <v>64</v>
      </c>
      <c r="C49" s="6">
        <v>1</v>
      </c>
      <c r="D49" s="78">
        <v>31.51</v>
      </c>
      <c r="E49" s="6">
        <v>45</v>
      </c>
      <c r="F49" s="78">
        <v>19251.91</v>
      </c>
      <c r="G49" s="78">
        <v>427.82</v>
      </c>
      <c r="H49" s="78">
        <v>436.83</v>
      </c>
      <c r="I49" s="78">
        <v>9.01</v>
      </c>
    </row>
    <row r="50" spans="1:9">
      <c r="A50" s="6" t="s">
        <v>55</v>
      </c>
      <c r="B50" s="6" t="s">
        <v>65</v>
      </c>
      <c r="C50" s="6">
        <v>5</v>
      </c>
      <c r="D50" s="78">
        <v>315.1</v>
      </c>
      <c r="E50" s="6">
        <v>106</v>
      </c>
      <c r="F50" s="78">
        <v>26064.12</v>
      </c>
      <c r="G50" s="78">
        <v>245.89</v>
      </c>
      <c r="H50" s="78">
        <v>254.94</v>
      </c>
      <c r="I50" s="78">
        <v>9.05</v>
      </c>
    </row>
    <row r="51" spans="1:9">
      <c r="A51" s="6" t="s">
        <v>55</v>
      </c>
      <c r="B51" s="6" t="s">
        <v>66</v>
      </c>
      <c r="C51" s="6">
        <v>0</v>
      </c>
      <c r="D51" s="78">
        <v>0</v>
      </c>
      <c r="E51" s="6">
        <v>12</v>
      </c>
      <c r="F51" s="78">
        <v>4819.97</v>
      </c>
      <c r="G51" s="78">
        <v>401.66</v>
      </c>
      <c r="H51" s="78">
        <v>401.66</v>
      </c>
      <c r="I51" s="78">
        <v>0</v>
      </c>
    </row>
    <row r="52" spans="1:9">
      <c r="A52" s="6" t="s">
        <v>55</v>
      </c>
      <c r="B52" s="6" t="s">
        <v>67</v>
      </c>
      <c r="C52" s="6">
        <v>0</v>
      </c>
      <c r="D52" s="78">
        <v>0</v>
      </c>
      <c r="E52" s="6">
        <v>3</v>
      </c>
      <c r="F52" s="78">
        <v>298.41</v>
      </c>
      <c r="G52" s="78">
        <v>99.47</v>
      </c>
      <c r="H52" s="78">
        <v>99.47</v>
      </c>
      <c r="I52" s="78">
        <v>0</v>
      </c>
    </row>
    <row r="53" spans="1:9">
      <c r="A53" s="6" t="s">
        <v>68</v>
      </c>
      <c r="B53" s="6" t="s">
        <v>69</v>
      </c>
      <c r="C53" s="6">
        <v>0</v>
      </c>
      <c r="D53" s="78">
        <v>0</v>
      </c>
      <c r="E53" s="6">
        <v>51</v>
      </c>
      <c r="F53" s="78">
        <v>16048.01</v>
      </c>
      <c r="G53" s="78">
        <v>314.67</v>
      </c>
      <c r="H53" s="78">
        <v>314.67</v>
      </c>
      <c r="I53" s="78">
        <v>0</v>
      </c>
    </row>
    <row r="54" spans="1:9">
      <c r="A54" s="6" t="s">
        <v>55</v>
      </c>
      <c r="B54" s="6" t="s">
        <v>70</v>
      </c>
      <c r="C54" s="6">
        <v>0</v>
      </c>
      <c r="D54" s="78">
        <v>0</v>
      </c>
      <c r="E54" s="6">
        <v>0</v>
      </c>
      <c r="F54" s="78">
        <v>0</v>
      </c>
      <c r="G54" s="78" t="e">
        <v>#DIV/0!</v>
      </c>
      <c r="H54" s="78" t="e">
        <v>#DIV/0!</v>
      </c>
      <c r="I54" s="78" t="e">
        <v>#DIV/0!</v>
      </c>
    </row>
    <row r="55" spans="1:9">
      <c r="A55" s="6" t="s">
        <v>55</v>
      </c>
      <c r="B55" s="6" t="s">
        <v>71</v>
      </c>
      <c r="C55" s="6">
        <v>0</v>
      </c>
      <c r="D55" s="78">
        <v>0</v>
      </c>
      <c r="E55" s="6">
        <v>29</v>
      </c>
      <c r="F55" s="78">
        <v>6192.24</v>
      </c>
      <c r="G55" s="78">
        <v>213.53</v>
      </c>
      <c r="H55" s="78">
        <v>213.53</v>
      </c>
      <c r="I55" s="78">
        <v>0</v>
      </c>
    </row>
    <row r="56" spans="1:9">
      <c r="A56" s="6" t="s">
        <v>55</v>
      </c>
      <c r="B56" s="6" t="s">
        <v>72</v>
      </c>
      <c r="C56" s="6">
        <v>0</v>
      </c>
      <c r="D56" s="78">
        <v>0</v>
      </c>
      <c r="E56" s="6">
        <v>5</v>
      </c>
      <c r="F56" s="78">
        <v>1067.03</v>
      </c>
      <c r="G56" s="78">
        <v>213.41</v>
      </c>
      <c r="H56" s="78">
        <v>213.41</v>
      </c>
      <c r="I56" s="78">
        <v>0</v>
      </c>
    </row>
    <row r="57" spans="1:9">
      <c r="A57" s="6" t="s">
        <v>55</v>
      </c>
      <c r="B57" s="6" t="s">
        <v>73</v>
      </c>
      <c r="C57" s="6">
        <v>0</v>
      </c>
      <c r="D57" s="78">
        <v>0</v>
      </c>
      <c r="E57" s="6">
        <v>0</v>
      </c>
      <c r="F57" s="78">
        <v>0</v>
      </c>
      <c r="G57" s="78" t="e">
        <v>#DIV/0!</v>
      </c>
      <c r="H57" s="78" t="e">
        <v>#DIV/0!</v>
      </c>
      <c r="I57" s="78" t="e">
        <v>#DIV/0!</v>
      </c>
    </row>
    <row r="58" spans="1:9">
      <c r="A58" s="6" t="s">
        <v>55</v>
      </c>
      <c r="B58" s="6" t="s">
        <v>74</v>
      </c>
      <c r="C58" s="6">
        <v>0</v>
      </c>
      <c r="D58" s="78">
        <v>0</v>
      </c>
      <c r="E58" s="6">
        <v>29</v>
      </c>
      <c r="F58" s="78">
        <v>9149.55</v>
      </c>
      <c r="G58" s="78">
        <v>315.5</v>
      </c>
      <c r="H58" s="78">
        <v>315.5</v>
      </c>
      <c r="I58" s="78">
        <v>0</v>
      </c>
    </row>
    <row r="59" spans="1:9">
      <c r="A59" s="6" t="s">
        <v>55</v>
      </c>
      <c r="B59" s="6" t="s">
        <v>75</v>
      </c>
      <c r="C59" s="6">
        <v>2</v>
      </c>
      <c r="D59" s="78">
        <v>126.04</v>
      </c>
      <c r="E59" s="6">
        <v>24</v>
      </c>
      <c r="F59" s="78">
        <v>2866.9</v>
      </c>
      <c r="G59" s="78">
        <v>119.45</v>
      </c>
      <c r="H59" s="78">
        <v>124.58</v>
      </c>
      <c r="I59" s="78">
        <v>5.13</v>
      </c>
    </row>
    <row r="60" spans="1:9">
      <c r="A60" s="6" t="s">
        <v>76</v>
      </c>
      <c r="B60" s="6" t="s">
        <v>77</v>
      </c>
      <c r="C60" s="6">
        <v>0</v>
      </c>
      <c r="D60" s="78">
        <v>0</v>
      </c>
      <c r="E60" s="6">
        <v>0</v>
      </c>
      <c r="F60" s="78">
        <v>0</v>
      </c>
      <c r="G60" s="78" t="e">
        <v>#DIV/0!</v>
      </c>
      <c r="H60" s="78" t="e">
        <v>#DIV/0!</v>
      </c>
      <c r="I60" s="78" t="e">
        <v>#DIV/0!</v>
      </c>
    </row>
    <row r="61" spans="1:9">
      <c r="A61" s="6" t="s">
        <v>76</v>
      </c>
      <c r="B61" s="6" t="s">
        <v>78</v>
      </c>
      <c r="C61" s="6">
        <v>0</v>
      </c>
      <c r="D61" s="78">
        <v>0</v>
      </c>
      <c r="E61" s="6">
        <v>0</v>
      </c>
      <c r="F61" s="78">
        <v>0</v>
      </c>
      <c r="G61" s="78" t="e">
        <v>#DIV/0!</v>
      </c>
      <c r="H61" s="78" t="e">
        <v>#DIV/0!</v>
      </c>
      <c r="I61" s="78" t="e">
        <v>#DIV/0!</v>
      </c>
    </row>
    <row r="62" spans="1:9">
      <c r="A62" s="6" t="s">
        <v>76</v>
      </c>
      <c r="B62" s="6" t="s">
        <v>79</v>
      </c>
      <c r="C62" s="6">
        <v>0</v>
      </c>
      <c r="D62" s="78">
        <v>0</v>
      </c>
      <c r="E62" s="6">
        <v>108</v>
      </c>
      <c r="F62" s="78">
        <v>35445.27</v>
      </c>
      <c r="G62" s="78">
        <v>328.2</v>
      </c>
      <c r="H62" s="78">
        <v>328.2</v>
      </c>
      <c r="I62" s="78">
        <v>0</v>
      </c>
    </row>
    <row r="63" spans="1:9">
      <c r="A63" s="6" t="s">
        <v>76</v>
      </c>
      <c r="B63" s="6" t="s">
        <v>80</v>
      </c>
      <c r="C63" s="6">
        <v>0</v>
      </c>
      <c r="D63" s="78">
        <v>0</v>
      </c>
      <c r="E63" s="6">
        <v>151</v>
      </c>
      <c r="F63" s="78">
        <v>38429.82</v>
      </c>
      <c r="G63" s="78">
        <v>254.5</v>
      </c>
      <c r="H63" s="78">
        <v>254.5</v>
      </c>
      <c r="I63" s="78">
        <v>0</v>
      </c>
    </row>
    <row r="64" spans="1:9">
      <c r="A64" s="6" t="s">
        <v>76</v>
      </c>
      <c r="B64" s="6" t="s">
        <v>81</v>
      </c>
      <c r="C64" s="6">
        <v>29</v>
      </c>
      <c r="D64" s="78">
        <v>1039.83</v>
      </c>
      <c r="E64" s="6">
        <v>238</v>
      </c>
      <c r="F64" s="78">
        <v>32655.5</v>
      </c>
      <c r="G64" s="78">
        <v>137.21</v>
      </c>
      <c r="H64" s="78">
        <v>151.27</v>
      </c>
      <c r="I64" s="78">
        <v>14.06</v>
      </c>
    </row>
    <row r="65" spans="1:9">
      <c r="A65" s="6" t="s">
        <v>76</v>
      </c>
      <c r="B65" s="6" t="s">
        <v>82</v>
      </c>
      <c r="C65" s="6">
        <v>0</v>
      </c>
      <c r="D65" s="78">
        <v>0</v>
      </c>
      <c r="E65" s="6">
        <v>218</v>
      </c>
      <c r="F65" s="78">
        <v>56202.46</v>
      </c>
      <c r="G65" s="78">
        <v>257.81</v>
      </c>
      <c r="H65" s="78">
        <v>257.81</v>
      </c>
      <c r="I65" s="78">
        <v>0</v>
      </c>
    </row>
    <row r="66" spans="1:9">
      <c r="A66" s="6" t="s">
        <v>83</v>
      </c>
      <c r="B66" s="6" t="s">
        <v>84</v>
      </c>
      <c r="C66" s="6">
        <v>6</v>
      </c>
      <c r="D66" s="78">
        <v>189.06</v>
      </c>
      <c r="E66" s="6">
        <v>58</v>
      </c>
      <c r="F66" s="78">
        <v>16033.6</v>
      </c>
      <c r="G66" s="78">
        <v>276.44</v>
      </c>
      <c r="H66" s="78">
        <v>304.7</v>
      </c>
      <c r="I66" s="78">
        <v>28.26</v>
      </c>
    </row>
    <row r="67" spans="1:9">
      <c r="A67" s="6" t="s">
        <v>85</v>
      </c>
      <c r="B67" s="6" t="s">
        <v>86</v>
      </c>
      <c r="C67" s="6">
        <v>0</v>
      </c>
      <c r="D67" s="78">
        <v>0</v>
      </c>
      <c r="E67" s="6">
        <v>329</v>
      </c>
      <c r="F67" s="78">
        <v>104072.59</v>
      </c>
      <c r="G67" s="78">
        <v>316.33</v>
      </c>
      <c r="H67" s="78">
        <v>316.33</v>
      </c>
      <c r="I67" s="78">
        <v>0</v>
      </c>
    </row>
    <row r="68" spans="1:9">
      <c r="A68" s="6" t="s">
        <v>83</v>
      </c>
      <c r="B68" s="6" t="s">
        <v>87</v>
      </c>
      <c r="C68" s="6">
        <v>0</v>
      </c>
      <c r="D68" s="78">
        <v>0</v>
      </c>
      <c r="E68" s="6">
        <v>0</v>
      </c>
      <c r="F68" s="78">
        <v>0</v>
      </c>
      <c r="G68" s="78" t="e">
        <v>#DIV/0!</v>
      </c>
      <c r="H68" s="78" t="e">
        <v>#DIV/0!</v>
      </c>
      <c r="I68" s="78" t="e">
        <v>#DIV/0!</v>
      </c>
    </row>
    <row r="69" spans="1:9">
      <c r="A69" s="6" t="s">
        <v>83</v>
      </c>
      <c r="B69" s="6" t="s">
        <v>88</v>
      </c>
      <c r="C69" s="6">
        <v>0</v>
      </c>
      <c r="D69" s="78">
        <v>0</v>
      </c>
      <c r="E69" s="6">
        <v>18</v>
      </c>
      <c r="F69" s="78">
        <v>379.78</v>
      </c>
      <c r="G69" s="78">
        <v>21.1</v>
      </c>
      <c r="H69" s="78">
        <v>21.1</v>
      </c>
      <c r="I69" s="78">
        <v>0</v>
      </c>
    </row>
    <row r="70" spans="1:9">
      <c r="A70" s="6" t="s">
        <v>83</v>
      </c>
      <c r="B70" s="6" t="s">
        <v>89</v>
      </c>
      <c r="C70" s="6">
        <v>0</v>
      </c>
      <c r="D70" s="78">
        <v>0</v>
      </c>
      <c r="E70" s="6">
        <v>0</v>
      </c>
      <c r="F70" s="78">
        <v>0</v>
      </c>
      <c r="G70" s="78" t="e">
        <v>#DIV/0!</v>
      </c>
      <c r="H70" s="78" t="e">
        <v>#DIV/0!</v>
      </c>
      <c r="I70" s="78" t="e">
        <v>#DIV/0!</v>
      </c>
    </row>
    <row r="71" spans="1:9">
      <c r="A71" s="6" t="s">
        <v>83</v>
      </c>
      <c r="B71" s="6" t="s">
        <v>90</v>
      </c>
      <c r="C71" s="6">
        <v>0</v>
      </c>
      <c r="D71" s="78">
        <v>0</v>
      </c>
      <c r="E71" s="6">
        <v>0</v>
      </c>
      <c r="F71" s="78">
        <v>0</v>
      </c>
      <c r="G71" s="78" t="e">
        <v>#DIV/0!</v>
      </c>
      <c r="H71" s="78" t="e">
        <v>#DIV/0!</v>
      </c>
      <c r="I71" s="78" t="e">
        <v>#DIV/0!</v>
      </c>
    </row>
    <row r="72" spans="1:9">
      <c r="A72" s="6" t="s">
        <v>83</v>
      </c>
      <c r="B72" s="6" t="s">
        <v>91</v>
      </c>
      <c r="C72" s="6">
        <v>72</v>
      </c>
      <c r="D72" s="78">
        <v>2993.45</v>
      </c>
      <c r="E72" s="6">
        <v>389</v>
      </c>
      <c r="F72" s="78">
        <v>37055.05</v>
      </c>
      <c r="G72" s="78">
        <v>95.26</v>
      </c>
      <c r="H72" s="78">
        <v>107.45</v>
      </c>
      <c r="I72" s="78">
        <v>12.19</v>
      </c>
    </row>
    <row r="73" spans="1:9">
      <c r="A73" s="6" t="s">
        <v>83</v>
      </c>
      <c r="B73" s="6" t="s">
        <v>92</v>
      </c>
      <c r="C73" s="6">
        <v>0</v>
      </c>
      <c r="D73" s="78">
        <v>0</v>
      </c>
      <c r="E73" s="6">
        <v>0</v>
      </c>
      <c r="F73" s="78">
        <v>0</v>
      </c>
      <c r="G73" s="78" t="e">
        <v>#DIV/0!</v>
      </c>
      <c r="H73" s="78" t="e">
        <v>#DIV/0!</v>
      </c>
      <c r="I73" s="78" t="e">
        <v>#DIV/0!</v>
      </c>
    </row>
    <row r="74" spans="1:9">
      <c r="A74" s="6" t="s">
        <v>83</v>
      </c>
      <c r="B74" s="6" t="s">
        <v>93</v>
      </c>
      <c r="C74" s="6">
        <v>0</v>
      </c>
      <c r="D74" s="78">
        <v>0</v>
      </c>
      <c r="E74" s="6">
        <v>0</v>
      </c>
      <c r="F74" s="78">
        <v>0</v>
      </c>
      <c r="G74" s="78" t="e">
        <v>#DIV/0!</v>
      </c>
      <c r="H74" s="78" t="e">
        <v>#DIV/0!</v>
      </c>
      <c r="I74" s="78" t="e">
        <v>#DIV/0!</v>
      </c>
    </row>
    <row r="75" spans="1:9">
      <c r="A75" s="6" t="s">
        <v>83</v>
      </c>
      <c r="B75" s="6" t="s">
        <v>94</v>
      </c>
      <c r="C75" s="6">
        <v>0</v>
      </c>
      <c r="D75" s="78">
        <v>0</v>
      </c>
      <c r="E75" s="6">
        <v>1</v>
      </c>
      <c r="F75" s="78">
        <v>75.67</v>
      </c>
      <c r="G75" s="78">
        <v>75.67</v>
      </c>
      <c r="H75" s="78">
        <v>75.67</v>
      </c>
      <c r="I75" s="78">
        <v>0</v>
      </c>
    </row>
    <row r="76" spans="1:9">
      <c r="A76" s="6" t="s">
        <v>83</v>
      </c>
      <c r="B76" s="6" t="s">
        <v>95</v>
      </c>
      <c r="C76" s="6">
        <v>0</v>
      </c>
      <c r="D76" s="78">
        <v>0</v>
      </c>
      <c r="E76" s="6">
        <v>11</v>
      </c>
      <c r="F76" s="78">
        <v>2580.44</v>
      </c>
      <c r="G76" s="78">
        <v>234.59</v>
      </c>
      <c r="H76" s="78">
        <v>234.59</v>
      </c>
      <c r="I76" s="78">
        <v>0</v>
      </c>
    </row>
    <row r="77" spans="1:9">
      <c r="A77" s="6" t="s">
        <v>83</v>
      </c>
      <c r="B77" s="6" t="s">
        <v>96</v>
      </c>
      <c r="C77" s="6">
        <v>0</v>
      </c>
      <c r="D77" s="78">
        <v>0</v>
      </c>
      <c r="E77" s="6">
        <v>5</v>
      </c>
      <c r="F77" s="78">
        <v>736.7</v>
      </c>
      <c r="G77" s="78">
        <v>147.34</v>
      </c>
      <c r="H77" s="78">
        <v>147.34</v>
      </c>
      <c r="I77" s="78">
        <v>0</v>
      </c>
    </row>
    <row r="78" spans="1:9">
      <c r="A78" s="6" t="s">
        <v>55</v>
      </c>
      <c r="B78" s="6" t="s">
        <v>97</v>
      </c>
      <c r="C78" s="6">
        <v>0</v>
      </c>
      <c r="D78" s="78">
        <v>0</v>
      </c>
      <c r="E78" s="6">
        <v>33</v>
      </c>
      <c r="F78" s="78">
        <v>7767.57</v>
      </c>
      <c r="G78" s="78">
        <v>235.38</v>
      </c>
      <c r="H78" s="78">
        <v>235.38</v>
      </c>
      <c r="I78" s="78">
        <v>0</v>
      </c>
    </row>
    <row r="79" spans="1:9">
      <c r="A79" s="6" t="s">
        <v>98</v>
      </c>
      <c r="B79" s="6" t="s">
        <v>99</v>
      </c>
      <c r="C79" s="6">
        <v>63</v>
      </c>
      <c r="D79" s="78">
        <v>2730.36</v>
      </c>
      <c r="E79" s="6">
        <v>112</v>
      </c>
      <c r="F79" s="78">
        <v>7775.43</v>
      </c>
      <c r="G79" s="78">
        <v>69.42</v>
      </c>
      <c r="H79" s="78">
        <v>102.96</v>
      </c>
      <c r="I79" s="78">
        <v>33.54</v>
      </c>
    </row>
    <row r="80" spans="1:9">
      <c r="A80" s="6" t="s">
        <v>98</v>
      </c>
      <c r="B80" s="6" t="s">
        <v>100</v>
      </c>
      <c r="C80" s="6">
        <v>85</v>
      </c>
      <c r="D80" s="78">
        <v>3586.17</v>
      </c>
      <c r="E80" s="6">
        <v>117</v>
      </c>
      <c r="F80" s="78">
        <v>12859.95</v>
      </c>
      <c r="G80" s="78">
        <v>109.91</v>
      </c>
      <c r="H80" s="78">
        <v>289.81</v>
      </c>
      <c r="I80" s="78">
        <v>179.89</v>
      </c>
    </row>
    <row r="81" spans="1:9">
      <c r="A81" s="6" t="s">
        <v>98</v>
      </c>
      <c r="B81" s="6" t="s">
        <v>101</v>
      </c>
      <c r="C81" s="6">
        <v>0</v>
      </c>
      <c r="D81" s="78">
        <v>0</v>
      </c>
      <c r="E81" s="6">
        <v>0</v>
      </c>
      <c r="F81" s="78">
        <v>0</v>
      </c>
      <c r="G81" s="78" t="e">
        <v>#DIV/0!</v>
      </c>
      <c r="H81" s="78" t="e">
        <v>#DIV/0!</v>
      </c>
      <c r="I81" s="78" t="e">
        <v>#DIV/0!</v>
      </c>
    </row>
    <row r="82" spans="1:9">
      <c r="A82" s="6" t="s">
        <v>98</v>
      </c>
      <c r="B82" s="6" t="s">
        <v>102</v>
      </c>
      <c r="C82" s="6">
        <v>0</v>
      </c>
      <c r="D82" s="78">
        <v>0</v>
      </c>
      <c r="E82" s="6">
        <v>0</v>
      </c>
      <c r="F82" s="78">
        <v>0</v>
      </c>
      <c r="G82" s="78" t="e">
        <v>#DIV/0!</v>
      </c>
      <c r="H82" s="78" t="e">
        <v>#DIV/0!</v>
      </c>
      <c r="I82" s="78" t="e">
        <v>#DIV/0!</v>
      </c>
    </row>
    <row r="83" spans="1:9">
      <c r="A83" s="6" t="s">
        <v>98</v>
      </c>
      <c r="B83" s="6" t="s">
        <v>103</v>
      </c>
      <c r="C83" s="6">
        <v>3</v>
      </c>
      <c r="D83" s="78">
        <v>189.06</v>
      </c>
      <c r="E83" s="6">
        <v>7</v>
      </c>
      <c r="F83" s="78">
        <v>355.1</v>
      </c>
      <c r="G83" s="78">
        <v>50.73</v>
      </c>
      <c r="H83" s="78">
        <v>41.51</v>
      </c>
      <c r="I83" s="78">
        <v>-9.22</v>
      </c>
    </row>
    <row r="84" spans="1:9">
      <c r="A84" s="6" t="s">
        <v>98</v>
      </c>
      <c r="B84" s="6" t="s">
        <v>104</v>
      </c>
      <c r="C84" s="6">
        <v>0</v>
      </c>
      <c r="D84" s="78">
        <v>0</v>
      </c>
      <c r="E84" s="6">
        <v>2</v>
      </c>
      <c r="F84" s="78">
        <v>314.28</v>
      </c>
      <c r="G84" s="78">
        <v>157.14</v>
      </c>
      <c r="H84" s="78">
        <v>157.14</v>
      </c>
      <c r="I84" s="78">
        <v>0</v>
      </c>
    </row>
    <row r="85" spans="1:9">
      <c r="A85" s="6" t="s">
        <v>98</v>
      </c>
      <c r="B85" s="6" t="s">
        <v>105</v>
      </c>
      <c r="C85" s="6">
        <v>24</v>
      </c>
      <c r="D85" s="78">
        <v>1512.48</v>
      </c>
      <c r="E85" s="6">
        <v>29</v>
      </c>
      <c r="F85" s="78">
        <v>2135.62</v>
      </c>
      <c r="G85" s="78">
        <v>73.64</v>
      </c>
      <c r="H85" s="78">
        <v>124.63</v>
      </c>
      <c r="I85" s="78">
        <v>50.99</v>
      </c>
    </row>
    <row r="86" spans="1:9">
      <c r="A86" s="6" t="s">
        <v>98</v>
      </c>
      <c r="B86" s="6" t="s">
        <v>106</v>
      </c>
      <c r="C86" s="6">
        <v>1</v>
      </c>
      <c r="D86" s="78">
        <v>15.57</v>
      </c>
      <c r="E86" s="6">
        <v>22</v>
      </c>
      <c r="F86" s="78">
        <v>456.89</v>
      </c>
      <c r="G86" s="78">
        <v>20.77</v>
      </c>
      <c r="H86" s="78">
        <v>21.02</v>
      </c>
      <c r="I86" s="78">
        <v>0.25</v>
      </c>
    </row>
    <row r="87" spans="1:9">
      <c r="A87" s="6" t="s">
        <v>98</v>
      </c>
      <c r="B87" s="6" t="s">
        <v>107</v>
      </c>
      <c r="C87" s="6">
        <v>2</v>
      </c>
      <c r="D87" s="78">
        <v>63.02</v>
      </c>
      <c r="E87" s="6">
        <v>6</v>
      </c>
      <c r="F87" s="78">
        <v>1091.66</v>
      </c>
      <c r="G87" s="78">
        <v>181.94</v>
      </c>
      <c r="H87" s="78">
        <v>257.16</v>
      </c>
      <c r="I87" s="78">
        <v>75.22</v>
      </c>
    </row>
    <row r="88" spans="1:9">
      <c r="A88" s="6" t="s">
        <v>108</v>
      </c>
      <c r="B88" s="6" t="s">
        <v>109</v>
      </c>
      <c r="C88" s="6">
        <v>0</v>
      </c>
      <c r="D88" s="78">
        <v>0</v>
      </c>
      <c r="E88" s="6">
        <v>112</v>
      </c>
      <c r="F88" s="78">
        <v>31488.6</v>
      </c>
      <c r="G88" s="78">
        <v>281.15</v>
      </c>
      <c r="H88" s="78">
        <v>281.15</v>
      </c>
      <c r="I88" s="78">
        <v>0</v>
      </c>
    </row>
    <row r="89" spans="1:9">
      <c r="A89" s="6" t="s">
        <v>108</v>
      </c>
      <c r="B89" s="6" t="s">
        <v>110</v>
      </c>
      <c r="C89" s="6">
        <v>4</v>
      </c>
      <c r="D89" s="78">
        <v>126.04</v>
      </c>
      <c r="E89" s="6">
        <v>14</v>
      </c>
      <c r="F89" s="78">
        <v>1833.27</v>
      </c>
      <c r="G89" s="78">
        <v>130.95</v>
      </c>
      <c r="H89" s="78">
        <v>170.72</v>
      </c>
      <c r="I89" s="78">
        <v>39.78</v>
      </c>
    </row>
    <row r="90" spans="1:9">
      <c r="A90" s="6" t="s">
        <v>108</v>
      </c>
      <c r="B90" s="6" t="s">
        <v>111</v>
      </c>
      <c r="C90" s="6">
        <v>21</v>
      </c>
      <c r="D90" s="78">
        <v>661.71</v>
      </c>
      <c r="E90" s="6">
        <v>124</v>
      </c>
      <c r="F90" s="78">
        <v>18518.96</v>
      </c>
      <c r="G90" s="78">
        <v>149.35</v>
      </c>
      <c r="H90" s="78">
        <v>173.37</v>
      </c>
      <c r="I90" s="78">
        <v>24.02</v>
      </c>
    </row>
    <row r="91" spans="1:9">
      <c r="A91" s="6" t="s">
        <v>108</v>
      </c>
      <c r="B91" s="6" t="s">
        <v>112</v>
      </c>
      <c r="C91" s="6">
        <v>3</v>
      </c>
      <c r="D91" s="78">
        <v>126.04</v>
      </c>
      <c r="E91" s="6">
        <v>63</v>
      </c>
      <c r="F91" s="78">
        <v>10475.21</v>
      </c>
      <c r="G91" s="78">
        <v>166.27</v>
      </c>
      <c r="H91" s="78">
        <v>172.49</v>
      </c>
      <c r="I91" s="78">
        <v>6.21</v>
      </c>
    </row>
    <row r="92" spans="1:9">
      <c r="A92" s="6" t="s">
        <v>108</v>
      </c>
      <c r="B92" s="6" t="s">
        <v>113</v>
      </c>
      <c r="C92" s="6">
        <v>0</v>
      </c>
      <c r="D92" s="78">
        <v>0</v>
      </c>
      <c r="E92" s="6">
        <v>0</v>
      </c>
      <c r="F92" s="78">
        <v>0</v>
      </c>
      <c r="G92" s="78" t="e">
        <v>#DIV/0!</v>
      </c>
      <c r="H92" s="78" t="e">
        <v>#DIV/0!</v>
      </c>
      <c r="I92" s="78" t="e">
        <v>#DIV/0!</v>
      </c>
    </row>
    <row r="93" spans="1:9">
      <c r="A93" s="6" t="s">
        <v>108</v>
      </c>
      <c r="B93" s="6" t="s">
        <v>114</v>
      </c>
      <c r="C93" s="6">
        <v>0</v>
      </c>
      <c r="D93" s="78">
        <v>0</v>
      </c>
      <c r="E93" s="6">
        <v>0</v>
      </c>
      <c r="F93" s="78">
        <v>0</v>
      </c>
      <c r="G93" s="78" t="e">
        <v>#DIV/0!</v>
      </c>
      <c r="H93" s="78" t="e">
        <v>#DIV/0!</v>
      </c>
      <c r="I93" s="78" t="e">
        <v>#DIV/0!</v>
      </c>
    </row>
    <row r="94" spans="1:9">
      <c r="A94" s="6" t="s">
        <v>108</v>
      </c>
      <c r="B94" s="6" t="s">
        <v>115</v>
      </c>
      <c r="C94" s="6">
        <v>0</v>
      </c>
      <c r="D94" s="78">
        <v>0</v>
      </c>
      <c r="E94" s="6">
        <v>0</v>
      </c>
      <c r="F94" s="78">
        <v>0</v>
      </c>
      <c r="G94" s="78" t="e">
        <v>#DIV/0!</v>
      </c>
      <c r="H94" s="78" t="e">
        <v>#DIV/0!</v>
      </c>
      <c r="I94" s="78" t="e">
        <v>#DIV/0!</v>
      </c>
    </row>
    <row r="95" spans="1:9">
      <c r="A95" s="6" t="s">
        <v>108</v>
      </c>
      <c r="B95" s="6" t="s">
        <v>116</v>
      </c>
      <c r="C95" s="6">
        <v>0</v>
      </c>
      <c r="D95" s="78">
        <v>0</v>
      </c>
      <c r="E95" s="6">
        <v>0</v>
      </c>
      <c r="F95" s="78">
        <v>0</v>
      </c>
      <c r="G95" s="78" t="e">
        <v>#DIV/0!</v>
      </c>
      <c r="H95" s="78" t="e">
        <v>#DIV/0!</v>
      </c>
      <c r="I95" s="78" t="e">
        <v>#DIV/0!</v>
      </c>
    </row>
    <row r="96" spans="1:9">
      <c r="A96" s="6" t="s">
        <v>117</v>
      </c>
      <c r="B96" s="6" t="s">
        <v>118</v>
      </c>
      <c r="C96" s="6">
        <v>0</v>
      </c>
      <c r="D96" s="78">
        <v>0</v>
      </c>
      <c r="E96" s="6">
        <v>0</v>
      </c>
      <c r="F96" s="78">
        <v>0</v>
      </c>
      <c r="G96" s="78" t="e">
        <v>#DIV/0!</v>
      </c>
      <c r="H96" s="78" t="e">
        <v>#DIV/0!</v>
      </c>
      <c r="I96" s="78" t="e">
        <v>#DIV/0!</v>
      </c>
    </row>
    <row r="97" spans="1:9">
      <c r="A97" s="6" t="s">
        <v>55</v>
      </c>
      <c r="B97" s="6" t="s">
        <v>119</v>
      </c>
      <c r="C97" s="6">
        <v>0</v>
      </c>
      <c r="D97" s="78">
        <v>0</v>
      </c>
      <c r="E97" s="6">
        <v>100</v>
      </c>
      <c r="F97" s="78">
        <v>17172.1</v>
      </c>
      <c r="G97" s="78">
        <v>171.72</v>
      </c>
      <c r="H97" s="78">
        <v>171.72</v>
      </c>
      <c r="I97" s="78">
        <v>0</v>
      </c>
    </row>
    <row r="98" spans="1:9">
      <c r="A98" s="6" t="s">
        <v>117</v>
      </c>
      <c r="B98" s="6" t="s">
        <v>120</v>
      </c>
      <c r="C98" s="6">
        <v>0</v>
      </c>
      <c r="D98" s="78">
        <v>0</v>
      </c>
      <c r="E98" s="6">
        <v>13</v>
      </c>
      <c r="F98" s="78">
        <v>4130.94</v>
      </c>
      <c r="G98" s="78">
        <v>317.76</v>
      </c>
      <c r="H98" s="78">
        <v>317.76</v>
      </c>
      <c r="I98" s="78">
        <v>0</v>
      </c>
    </row>
    <row r="99" spans="1:9">
      <c r="A99" s="6" t="s">
        <v>117</v>
      </c>
      <c r="B99" s="6" t="s">
        <v>121</v>
      </c>
      <c r="C99" s="6">
        <v>0</v>
      </c>
      <c r="D99" s="78">
        <v>0</v>
      </c>
      <c r="E99" s="6">
        <v>5</v>
      </c>
      <c r="F99" s="78">
        <v>2658.24</v>
      </c>
      <c r="G99" s="78">
        <v>531.65</v>
      </c>
      <c r="H99" s="78">
        <v>531.65</v>
      </c>
      <c r="I99" s="78">
        <v>0</v>
      </c>
    </row>
    <row r="100" spans="1:9">
      <c r="A100" s="6" t="s">
        <v>117</v>
      </c>
      <c r="B100" s="6" t="s">
        <v>122</v>
      </c>
      <c r="C100" s="6">
        <v>0</v>
      </c>
      <c r="D100" s="78">
        <v>0</v>
      </c>
      <c r="E100" s="6">
        <v>0</v>
      </c>
      <c r="F100" s="78">
        <v>0</v>
      </c>
      <c r="G100" s="78" t="e">
        <v>#DIV/0!</v>
      </c>
      <c r="H100" s="78" t="e">
        <v>#DIV/0!</v>
      </c>
      <c r="I100" s="78" t="e">
        <v>#DIV/0!</v>
      </c>
    </row>
    <row r="101" spans="1:9">
      <c r="A101" s="6" t="s">
        <v>55</v>
      </c>
      <c r="B101" s="6" t="s">
        <v>123</v>
      </c>
      <c r="C101" s="6">
        <v>0</v>
      </c>
      <c r="D101" s="78">
        <v>0</v>
      </c>
      <c r="E101" s="6">
        <v>16</v>
      </c>
      <c r="F101" s="78">
        <v>8259.27</v>
      </c>
      <c r="G101" s="78">
        <v>516.2</v>
      </c>
      <c r="H101" s="78">
        <v>516.2</v>
      </c>
      <c r="I101" s="78">
        <v>0</v>
      </c>
    </row>
    <row r="102" spans="1:9">
      <c r="A102" s="6" t="s">
        <v>124</v>
      </c>
      <c r="B102" s="6" t="s">
        <v>125</v>
      </c>
      <c r="C102" s="6">
        <v>0</v>
      </c>
      <c r="D102" s="78">
        <v>0</v>
      </c>
      <c r="E102" s="6">
        <v>4</v>
      </c>
      <c r="F102" s="78">
        <v>1267.3</v>
      </c>
      <c r="G102" s="78">
        <v>316.83</v>
      </c>
      <c r="H102" s="78">
        <v>316.83</v>
      </c>
      <c r="I102" s="78">
        <v>0</v>
      </c>
    </row>
    <row r="103" spans="1:9">
      <c r="A103" s="6" t="s">
        <v>126</v>
      </c>
      <c r="B103" s="6" t="s">
        <v>127</v>
      </c>
      <c r="C103" s="6">
        <v>0</v>
      </c>
      <c r="D103" s="78">
        <v>0</v>
      </c>
      <c r="E103" s="6">
        <v>349</v>
      </c>
      <c r="F103" s="78">
        <v>107020.09</v>
      </c>
      <c r="G103" s="78">
        <v>306.65</v>
      </c>
      <c r="H103" s="78">
        <v>306.65</v>
      </c>
      <c r="I103" s="78">
        <v>0</v>
      </c>
    </row>
    <row r="104" spans="1:9">
      <c r="A104" s="6" t="s">
        <v>126</v>
      </c>
      <c r="B104" s="6" t="s">
        <v>128</v>
      </c>
      <c r="C104" s="6">
        <v>0</v>
      </c>
      <c r="D104" s="78">
        <v>0</v>
      </c>
      <c r="E104" s="6">
        <v>7</v>
      </c>
      <c r="F104" s="78">
        <v>5923.12</v>
      </c>
      <c r="G104" s="78">
        <v>846.16</v>
      </c>
      <c r="H104" s="78">
        <v>846.16</v>
      </c>
      <c r="I104" s="78">
        <v>0</v>
      </c>
    </row>
    <row r="105" spans="1:9">
      <c r="A105" s="6" t="s">
        <v>126</v>
      </c>
      <c r="B105" s="6" t="s">
        <v>129</v>
      </c>
      <c r="C105" s="6">
        <v>0</v>
      </c>
      <c r="D105" s="78">
        <v>0</v>
      </c>
      <c r="E105" s="6">
        <v>0</v>
      </c>
      <c r="F105" s="78">
        <v>0</v>
      </c>
      <c r="G105" s="78" t="e">
        <v>#DIV/0!</v>
      </c>
      <c r="H105" s="78" t="e">
        <v>#DIV/0!</v>
      </c>
      <c r="I105" s="78" t="e">
        <v>#DIV/0!</v>
      </c>
    </row>
    <row r="106" spans="1:9">
      <c r="A106" s="6" t="s">
        <v>126</v>
      </c>
      <c r="B106" s="6" t="s">
        <v>130</v>
      </c>
      <c r="C106" s="6">
        <v>0</v>
      </c>
      <c r="D106" s="78">
        <v>0</v>
      </c>
      <c r="E106" s="6">
        <v>191</v>
      </c>
      <c r="F106" s="78">
        <v>55431.62</v>
      </c>
      <c r="G106" s="78">
        <v>290.22</v>
      </c>
      <c r="H106" s="78">
        <v>290.22</v>
      </c>
      <c r="I106" s="78">
        <v>0</v>
      </c>
    </row>
    <row r="107" spans="1:9">
      <c r="A107" s="6" t="s">
        <v>126</v>
      </c>
      <c r="B107" s="6" t="s">
        <v>131</v>
      </c>
      <c r="C107" s="6">
        <v>0</v>
      </c>
      <c r="D107" s="78">
        <v>0</v>
      </c>
      <c r="E107" s="6">
        <v>0</v>
      </c>
      <c r="F107" s="78">
        <v>0</v>
      </c>
      <c r="G107" s="78" t="e">
        <v>#DIV/0!</v>
      </c>
      <c r="H107" s="78" t="e">
        <v>#DIV/0!</v>
      </c>
      <c r="I107" s="78" t="e">
        <v>#DIV/0!</v>
      </c>
    </row>
    <row r="108" spans="1:9">
      <c r="A108" s="6" t="s">
        <v>126</v>
      </c>
      <c r="B108" s="6" t="s">
        <v>132</v>
      </c>
      <c r="C108" s="6">
        <v>0</v>
      </c>
      <c r="D108" s="78">
        <v>0</v>
      </c>
      <c r="E108" s="6">
        <v>0</v>
      </c>
      <c r="F108" s="78">
        <v>0</v>
      </c>
      <c r="G108" s="78" t="e">
        <v>#DIV/0!</v>
      </c>
      <c r="H108" s="78" t="e">
        <v>#DIV/0!</v>
      </c>
      <c r="I108" s="78" t="e">
        <v>#DIV/0!</v>
      </c>
    </row>
    <row r="109" spans="1:9">
      <c r="A109" s="6" t="s">
        <v>126</v>
      </c>
      <c r="B109" s="6" t="s">
        <v>133</v>
      </c>
      <c r="C109" s="6">
        <v>79</v>
      </c>
      <c r="D109" s="78">
        <v>4542.51</v>
      </c>
      <c r="E109" s="6">
        <v>175</v>
      </c>
      <c r="F109" s="78">
        <v>14234.82</v>
      </c>
      <c r="G109" s="78">
        <v>81.34</v>
      </c>
      <c r="H109" s="78">
        <v>100.96</v>
      </c>
      <c r="I109" s="78">
        <v>19.62</v>
      </c>
    </row>
    <row r="110" spans="1:9">
      <c r="A110" s="6" t="s">
        <v>55</v>
      </c>
      <c r="B110" s="6" t="s">
        <v>134</v>
      </c>
      <c r="C110" s="6">
        <v>0</v>
      </c>
      <c r="D110" s="78">
        <v>0</v>
      </c>
      <c r="E110" s="6">
        <v>1</v>
      </c>
      <c r="F110" s="78">
        <v>1596.94</v>
      </c>
      <c r="G110" s="78">
        <v>1596.94</v>
      </c>
      <c r="H110" s="78">
        <v>1596.94</v>
      </c>
      <c r="I110" s="78">
        <v>0</v>
      </c>
    </row>
    <row r="111" spans="1:9">
      <c r="A111" s="6" t="s">
        <v>68</v>
      </c>
      <c r="B111" s="6" t="s">
        <v>135</v>
      </c>
      <c r="C111" s="6">
        <v>0</v>
      </c>
      <c r="D111" s="78">
        <v>0</v>
      </c>
      <c r="E111" s="6">
        <v>383</v>
      </c>
      <c r="F111" s="78">
        <v>83247.31</v>
      </c>
      <c r="G111" s="78">
        <v>217.36</v>
      </c>
      <c r="H111" s="78">
        <v>217.36</v>
      </c>
      <c r="I111" s="78">
        <v>0</v>
      </c>
    </row>
    <row r="112" spans="1:9">
      <c r="A112" s="6" t="s">
        <v>55</v>
      </c>
      <c r="B112" s="6" t="s">
        <v>136</v>
      </c>
      <c r="C112" s="6">
        <v>0</v>
      </c>
      <c r="D112" s="78">
        <v>0</v>
      </c>
      <c r="E112" s="6">
        <v>94</v>
      </c>
      <c r="F112" s="78">
        <v>12738.12</v>
      </c>
      <c r="G112" s="78">
        <v>135.51</v>
      </c>
      <c r="H112" s="78">
        <v>135.51</v>
      </c>
      <c r="I112" s="78">
        <v>0</v>
      </c>
    </row>
    <row r="113" spans="1:9">
      <c r="A113" s="6" t="s">
        <v>68</v>
      </c>
      <c r="B113" s="6" t="s">
        <v>137</v>
      </c>
      <c r="C113" s="6">
        <v>0</v>
      </c>
      <c r="D113" s="78">
        <v>0</v>
      </c>
      <c r="E113" s="6">
        <v>0</v>
      </c>
      <c r="F113" s="78">
        <v>0</v>
      </c>
      <c r="G113" s="78" t="e">
        <v>#DIV/0!</v>
      </c>
      <c r="H113" s="78" t="e">
        <v>#DIV/0!</v>
      </c>
      <c r="I113" s="78" t="e">
        <v>#DIV/0!</v>
      </c>
    </row>
    <row r="114" spans="1:9">
      <c r="A114" s="6" t="s">
        <v>68</v>
      </c>
      <c r="B114" s="6" t="s">
        <v>138</v>
      </c>
      <c r="C114" s="6">
        <v>0</v>
      </c>
      <c r="D114" s="78">
        <v>0</v>
      </c>
      <c r="E114" s="6">
        <v>18</v>
      </c>
      <c r="F114" s="78">
        <v>6153.93</v>
      </c>
      <c r="G114" s="78">
        <v>341.89</v>
      </c>
      <c r="H114" s="78">
        <v>341.89</v>
      </c>
      <c r="I114" s="78">
        <v>0</v>
      </c>
    </row>
    <row r="115" spans="1:9">
      <c r="A115" s="6" t="s">
        <v>68</v>
      </c>
      <c r="B115" s="6" t="s">
        <v>139</v>
      </c>
      <c r="C115" s="6">
        <v>0</v>
      </c>
      <c r="D115" s="78">
        <v>0</v>
      </c>
      <c r="E115" s="6">
        <v>107</v>
      </c>
      <c r="F115" s="78">
        <v>30034.92</v>
      </c>
      <c r="G115" s="78">
        <v>280.7</v>
      </c>
      <c r="H115" s="78">
        <v>280.7</v>
      </c>
      <c r="I115" s="78">
        <v>0</v>
      </c>
    </row>
    <row r="116" spans="1:9">
      <c r="A116" s="6" t="s">
        <v>68</v>
      </c>
      <c r="B116" s="6" t="s">
        <v>140</v>
      </c>
      <c r="C116" s="6">
        <v>0</v>
      </c>
      <c r="D116" s="78">
        <v>0</v>
      </c>
      <c r="E116" s="6">
        <v>17</v>
      </c>
      <c r="F116" s="78">
        <v>5091.3</v>
      </c>
      <c r="G116" s="78">
        <v>299.49</v>
      </c>
      <c r="H116" s="78">
        <v>299.49</v>
      </c>
      <c r="I116" s="78">
        <v>0</v>
      </c>
    </row>
    <row r="117" spans="1:9">
      <c r="A117" s="6" t="s">
        <v>141</v>
      </c>
      <c r="B117" s="6" t="s">
        <v>142</v>
      </c>
      <c r="C117" s="6">
        <v>0</v>
      </c>
      <c r="D117" s="78">
        <v>0</v>
      </c>
      <c r="E117" s="6">
        <v>0</v>
      </c>
      <c r="F117" s="78">
        <v>0</v>
      </c>
      <c r="G117" s="78" t="e">
        <v>#DIV/0!</v>
      </c>
      <c r="H117" s="78" t="e">
        <v>#DIV/0!</v>
      </c>
      <c r="I117" s="78" t="e">
        <v>#DIV/0!</v>
      </c>
    </row>
    <row r="118" spans="1:9">
      <c r="A118" s="6" t="s">
        <v>143</v>
      </c>
      <c r="B118" s="6" t="s">
        <v>144</v>
      </c>
      <c r="C118" s="6">
        <v>28</v>
      </c>
      <c r="D118" s="78">
        <v>882.28</v>
      </c>
      <c r="E118" s="6">
        <v>158</v>
      </c>
      <c r="F118" s="78">
        <v>34960.91</v>
      </c>
      <c r="G118" s="78">
        <v>221.27</v>
      </c>
      <c r="H118" s="78">
        <v>262.14</v>
      </c>
      <c r="I118" s="78">
        <v>40.87</v>
      </c>
    </row>
    <row r="119" spans="1:9">
      <c r="A119" s="6" t="s">
        <v>143</v>
      </c>
      <c r="B119" s="6" t="s">
        <v>145</v>
      </c>
      <c r="C119" s="6">
        <v>49</v>
      </c>
      <c r="D119" s="78">
        <v>1543.99</v>
      </c>
      <c r="E119" s="6">
        <v>213</v>
      </c>
      <c r="F119" s="78">
        <v>25469.51</v>
      </c>
      <c r="G119" s="78">
        <v>119.58</v>
      </c>
      <c r="H119" s="78">
        <v>145.89</v>
      </c>
      <c r="I119" s="78">
        <v>26.31</v>
      </c>
    </row>
    <row r="120" spans="1:9">
      <c r="A120" s="6" t="s">
        <v>143</v>
      </c>
      <c r="B120" s="6" t="s">
        <v>146</v>
      </c>
      <c r="C120" s="6">
        <v>0</v>
      </c>
      <c r="D120" s="78">
        <v>0</v>
      </c>
      <c r="E120" s="6">
        <v>17</v>
      </c>
      <c r="F120" s="78">
        <v>3553.33</v>
      </c>
      <c r="G120" s="78">
        <v>209.02</v>
      </c>
      <c r="H120" s="78">
        <v>209.02</v>
      </c>
      <c r="I120" s="78">
        <v>0</v>
      </c>
    </row>
    <row r="121" spans="1:9">
      <c r="A121" s="6" t="s">
        <v>147</v>
      </c>
      <c r="B121" s="6" t="s">
        <v>148</v>
      </c>
      <c r="C121" s="6">
        <v>13</v>
      </c>
      <c r="D121" s="78">
        <v>409.63</v>
      </c>
      <c r="E121" s="6">
        <v>213</v>
      </c>
      <c r="F121" s="78">
        <v>46062.64</v>
      </c>
      <c r="G121" s="78">
        <v>216.26</v>
      </c>
      <c r="H121" s="78">
        <v>228.27</v>
      </c>
      <c r="I121" s="78">
        <v>12.01</v>
      </c>
    </row>
    <row r="122" spans="1:9">
      <c r="A122" s="6" t="s">
        <v>143</v>
      </c>
      <c r="B122" s="6" t="s">
        <v>149</v>
      </c>
      <c r="C122" s="6">
        <v>0</v>
      </c>
      <c r="D122" s="78">
        <v>0</v>
      </c>
      <c r="E122" s="6">
        <v>0</v>
      </c>
      <c r="F122" s="78">
        <v>0</v>
      </c>
      <c r="G122" s="78" t="e">
        <v>#DIV/0!</v>
      </c>
      <c r="H122" s="78" t="e">
        <v>#DIV/0!</v>
      </c>
      <c r="I122" s="78" t="e">
        <v>#DIV/0!</v>
      </c>
    </row>
    <row r="123" spans="1:9">
      <c r="A123" s="6" t="s">
        <v>143</v>
      </c>
      <c r="B123" s="6" t="s">
        <v>150</v>
      </c>
      <c r="C123" s="6">
        <v>55</v>
      </c>
      <c r="D123" s="78">
        <v>2835.9</v>
      </c>
      <c r="E123" s="6">
        <v>119</v>
      </c>
      <c r="F123" s="78">
        <v>13209.19</v>
      </c>
      <c r="G123" s="78">
        <v>111</v>
      </c>
      <c r="H123" s="78">
        <v>162.08</v>
      </c>
      <c r="I123" s="78">
        <v>51.08</v>
      </c>
    </row>
    <row r="124" spans="1:9">
      <c r="A124" s="6" t="s">
        <v>151</v>
      </c>
      <c r="B124" s="6" t="s">
        <v>152</v>
      </c>
      <c r="C124" s="6">
        <v>0</v>
      </c>
      <c r="D124" s="78">
        <v>0</v>
      </c>
      <c r="E124" s="6">
        <v>94</v>
      </c>
      <c r="F124" s="78">
        <v>13838.93</v>
      </c>
      <c r="G124" s="78">
        <v>147.22</v>
      </c>
      <c r="H124" s="78">
        <v>147.22</v>
      </c>
      <c r="I124" s="78">
        <v>0</v>
      </c>
    </row>
    <row r="125" spans="1:9">
      <c r="A125" s="6" t="s">
        <v>153</v>
      </c>
      <c r="B125" s="6" t="s">
        <v>154</v>
      </c>
      <c r="C125" s="6">
        <v>22</v>
      </c>
      <c r="D125" s="78">
        <v>1228.89</v>
      </c>
      <c r="E125" s="6">
        <v>133</v>
      </c>
      <c r="F125" s="78">
        <v>22860.85</v>
      </c>
      <c r="G125" s="78">
        <v>171.89</v>
      </c>
      <c r="H125" s="78">
        <v>194.88</v>
      </c>
      <c r="I125" s="78">
        <v>23</v>
      </c>
    </row>
    <row r="126" spans="1:9">
      <c r="A126" s="6" t="s">
        <v>55</v>
      </c>
      <c r="B126" s="6" t="s">
        <v>155</v>
      </c>
      <c r="C126" s="6">
        <v>0</v>
      </c>
      <c r="D126" s="78">
        <v>0</v>
      </c>
      <c r="E126" s="6">
        <v>0</v>
      </c>
      <c r="F126" s="78">
        <v>0</v>
      </c>
      <c r="G126" s="78" t="e">
        <v>#DIV/0!</v>
      </c>
      <c r="H126" s="78" t="e">
        <v>#DIV/0!</v>
      </c>
      <c r="I126" s="78" t="e">
        <v>#DIV/0!</v>
      </c>
    </row>
    <row r="127" spans="1:9">
      <c r="A127" s="6" t="s">
        <v>156</v>
      </c>
      <c r="B127" s="6" t="s">
        <v>157</v>
      </c>
      <c r="C127" s="6">
        <v>0</v>
      </c>
      <c r="D127" s="78">
        <v>0</v>
      </c>
      <c r="E127" s="6">
        <v>0</v>
      </c>
      <c r="F127" s="78">
        <v>0</v>
      </c>
      <c r="G127" s="78" t="e">
        <v>#DIV/0!</v>
      </c>
      <c r="H127" s="78" t="e">
        <v>#DIV/0!</v>
      </c>
      <c r="I127" s="78" t="e">
        <v>#DIV/0!</v>
      </c>
    </row>
    <row r="128" spans="1:9">
      <c r="A128" s="6" t="s">
        <v>158</v>
      </c>
      <c r="B128" s="6" t="s">
        <v>159</v>
      </c>
      <c r="C128" s="6">
        <v>0</v>
      </c>
      <c r="D128" s="78">
        <v>0</v>
      </c>
      <c r="E128" s="6">
        <v>11</v>
      </c>
      <c r="F128" s="78">
        <v>4719.97</v>
      </c>
      <c r="G128" s="78">
        <v>429.09</v>
      </c>
      <c r="H128" s="78">
        <v>429.09</v>
      </c>
      <c r="I128" s="78">
        <v>0</v>
      </c>
    </row>
    <row r="129" spans="1:9">
      <c r="A129" s="6" t="s">
        <v>158</v>
      </c>
      <c r="B129" s="6" t="s">
        <v>160</v>
      </c>
      <c r="C129" s="6">
        <v>1</v>
      </c>
      <c r="D129" s="78">
        <v>31.51</v>
      </c>
      <c r="E129" s="6">
        <v>58</v>
      </c>
      <c r="F129" s="78">
        <v>8579.38</v>
      </c>
      <c r="G129" s="78">
        <v>147.92</v>
      </c>
      <c r="H129" s="78">
        <v>149.96</v>
      </c>
      <c r="I129" s="78">
        <v>2.04</v>
      </c>
    </row>
    <row r="130" spans="1:9">
      <c r="A130" s="6" t="s">
        <v>161</v>
      </c>
      <c r="B130" s="6" t="s">
        <v>162</v>
      </c>
      <c r="C130" s="6">
        <v>0</v>
      </c>
      <c r="D130" s="78">
        <v>0</v>
      </c>
      <c r="E130" s="6">
        <v>76</v>
      </c>
      <c r="F130" s="78">
        <v>31207.73</v>
      </c>
      <c r="G130" s="78">
        <v>410.63</v>
      </c>
      <c r="H130" s="78">
        <v>410.63</v>
      </c>
      <c r="I130" s="78">
        <v>0</v>
      </c>
    </row>
    <row r="131" spans="1:9">
      <c r="A131" s="6" t="s">
        <v>14</v>
      </c>
      <c r="B131" s="6" t="s">
        <v>163</v>
      </c>
      <c r="C131" s="6">
        <v>0</v>
      </c>
      <c r="D131" s="78">
        <v>0</v>
      </c>
      <c r="E131" s="6">
        <v>48</v>
      </c>
      <c r="F131" s="78">
        <v>5512.63</v>
      </c>
      <c r="G131" s="78">
        <v>114.85</v>
      </c>
      <c r="H131" s="78">
        <v>114.85</v>
      </c>
      <c r="I131" s="78">
        <v>0</v>
      </c>
    </row>
    <row r="132" spans="1:9">
      <c r="A132" s="6" t="s">
        <v>14</v>
      </c>
      <c r="B132" s="6" t="s">
        <v>164</v>
      </c>
      <c r="C132" s="6">
        <v>0</v>
      </c>
      <c r="D132" s="78">
        <v>0</v>
      </c>
      <c r="E132" s="6">
        <v>0</v>
      </c>
      <c r="F132" s="78">
        <v>0</v>
      </c>
      <c r="G132" s="78" t="e">
        <v>#DIV/0!</v>
      </c>
      <c r="H132" s="78" t="e">
        <v>#DIV/0!</v>
      </c>
      <c r="I132" s="78" t="e">
        <v>#DIV/0!</v>
      </c>
    </row>
    <row r="133" spans="1:9">
      <c r="A133" s="6" t="s">
        <v>165</v>
      </c>
      <c r="B133" s="6" t="s">
        <v>166</v>
      </c>
      <c r="C133" s="6">
        <v>0</v>
      </c>
      <c r="D133" s="78">
        <v>0</v>
      </c>
      <c r="E133" s="6">
        <v>1</v>
      </c>
      <c r="F133" s="78">
        <v>206.43</v>
      </c>
      <c r="G133" s="78">
        <v>206.43</v>
      </c>
      <c r="H133" s="78">
        <v>206.43</v>
      </c>
      <c r="I133" s="78">
        <v>0</v>
      </c>
    </row>
    <row r="134" spans="1:9">
      <c r="A134" s="6" t="s">
        <v>167</v>
      </c>
      <c r="B134" s="6" t="s">
        <v>168</v>
      </c>
      <c r="C134" s="6">
        <v>6</v>
      </c>
      <c r="D134" s="78">
        <v>283.59</v>
      </c>
      <c r="E134" s="6">
        <v>46</v>
      </c>
      <c r="F134" s="78">
        <v>6922.11</v>
      </c>
      <c r="G134" s="78">
        <v>150.48</v>
      </c>
      <c r="H134" s="78">
        <v>165.96</v>
      </c>
      <c r="I134" s="78">
        <v>15.48</v>
      </c>
    </row>
    <row r="135" spans="1:9">
      <c r="A135" s="6" t="s">
        <v>147</v>
      </c>
      <c r="B135" s="6" t="s">
        <v>169</v>
      </c>
      <c r="C135" s="6">
        <v>1</v>
      </c>
      <c r="D135" s="78">
        <v>31.51</v>
      </c>
      <c r="E135" s="6">
        <v>311</v>
      </c>
      <c r="F135" s="78">
        <v>61321.41</v>
      </c>
      <c r="G135" s="78">
        <v>197.17</v>
      </c>
      <c r="H135" s="78">
        <v>197.71</v>
      </c>
      <c r="I135" s="78">
        <v>0.53</v>
      </c>
    </row>
    <row r="136" spans="1:9">
      <c r="A136" s="6" t="s">
        <v>170</v>
      </c>
      <c r="B136" s="6" t="s">
        <v>171</v>
      </c>
      <c r="C136" s="6">
        <v>8</v>
      </c>
      <c r="D136" s="78">
        <v>303.37</v>
      </c>
      <c r="E136" s="6">
        <v>55</v>
      </c>
      <c r="F136" s="78">
        <v>16632.26</v>
      </c>
      <c r="G136" s="78">
        <v>302.4</v>
      </c>
      <c r="H136" s="78">
        <v>347.42</v>
      </c>
      <c r="I136" s="78">
        <v>45.02</v>
      </c>
    </row>
    <row r="137" spans="1:9">
      <c r="A137" s="6" t="s">
        <v>172</v>
      </c>
      <c r="B137" s="6" t="s">
        <v>173</v>
      </c>
      <c r="C137" s="6">
        <v>0</v>
      </c>
      <c r="D137" s="78">
        <v>0</v>
      </c>
      <c r="E137" s="6">
        <v>23</v>
      </c>
      <c r="F137" s="78">
        <v>5394.33</v>
      </c>
      <c r="G137" s="78">
        <v>234.54</v>
      </c>
      <c r="H137" s="78">
        <v>234.54</v>
      </c>
      <c r="I137" s="78">
        <v>0</v>
      </c>
    </row>
    <row r="138" spans="1:9">
      <c r="A138" s="6" t="s">
        <v>174</v>
      </c>
      <c r="B138" s="6" t="s">
        <v>175</v>
      </c>
      <c r="C138" s="6">
        <v>0</v>
      </c>
      <c r="D138" s="78">
        <v>0</v>
      </c>
      <c r="E138" s="6">
        <v>0</v>
      </c>
      <c r="F138" s="78">
        <v>0</v>
      </c>
      <c r="G138" s="78" t="e">
        <v>#DIV/0!</v>
      </c>
      <c r="H138" s="78" t="e">
        <v>#DIV/0!</v>
      </c>
      <c r="I138" s="78" t="e">
        <v>#DIV/0!</v>
      </c>
    </row>
    <row r="139" spans="1:9">
      <c r="A139" s="6" t="s">
        <v>165</v>
      </c>
      <c r="B139" s="6" t="s">
        <v>176</v>
      </c>
      <c r="C139" s="6">
        <v>21</v>
      </c>
      <c r="D139" s="78">
        <v>756.24</v>
      </c>
      <c r="E139" s="6">
        <v>38</v>
      </c>
      <c r="F139" s="78">
        <v>2770.48</v>
      </c>
      <c r="G139" s="78">
        <v>72.91</v>
      </c>
      <c r="H139" s="78">
        <v>118.48</v>
      </c>
      <c r="I139" s="78">
        <v>45.58</v>
      </c>
    </row>
    <row r="140" spans="1:9">
      <c r="A140" s="6" t="s">
        <v>177</v>
      </c>
      <c r="B140" s="6"/>
      <c r="C140" s="6">
        <v>2511</v>
      </c>
      <c r="D140" s="78">
        <v>117577.11</v>
      </c>
      <c r="E140" s="6">
        <v>13577</v>
      </c>
      <c r="F140" s="78">
        <v>2740082.55</v>
      </c>
      <c r="G140" s="78">
        <v>201.82</v>
      </c>
      <c r="H140" s="78">
        <v>236.99</v>
      </c>
      <c r="I140" s="78">
        <v>35.17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196"/>
  <sheetViews>
    <sheetView zoomScale="75" zoomScaleNormal="75" workbookViewId="0">
      <selection activeCell="W39" sqref="W39"/>
    </sheetView>
  </sheetViews>
  <sheetFormatPr defaultColWidth="7.875" defaultRowHeight="13.5"/>
  <cols>
    <col min="1" max="1" width="13.25" style="1" customWidth="1"/>
    <col min="2" max="2" width="17.75" customWidth="1"/>
    <col min="3" max="3" width="9.375" customWidth="1"/>
    <col min="4" max="4" width="7" customWidth="1"/>
    <col min="5" max="5" width="12.875" style="166" customWidth="1"/>
    <col min="6" max="6" width="9" customWidth="1"/>
    <col min="7" max="7" width="9.125" style="166" customWidth="1"/>
    <col min="8" max="8" width="7.375" customWidth="1"/>
    <col min="9" max="9" width="8.25" customWidth="1"/>
    <col min="10" max="10" width="6.75" customWidth="1"/>
    <col min="11" max="11" width="5" customWidth="1"/>
    <col min="12" max="12" width="11.625" style="166" customWidth="1"/>
    <col min="13" max="13" width="15.25" style="166" customWidth="1"/>
    <col min="14" max="14" width="8.50833333333333" style="166" customWidth="1"/>
    <col min="15" max="15" width="8.375" customWidth="1"/>
    <col min="16" max="16" width="10.875" customWidth="1"/>
    <col min="17" max="17" width="11.25" style="1" customWidth="1"/>
    <col min="18" max="18" width="10.375" style="1" customWidth="1"/>
    <col min="19" max="19" width="0.125" style="1" customWidth="1"/>
    <col min="20" max="20" width="7.75" customWidth="1"/>
    <col min="21" max="21" width="12.75" style="166" customWidth="1"/>
    <col min="22" max="22" width="8.50833333333333" style="166" customWidth="1"/>
    <col min="23" max="23" width="13.7416666666667" customWidth="1"/>
    <col min="24" max="24" width="7.875" style="1" customWidth="1"/>
    <col min="25" max="25" width="8.875" style="1" customWidth="1"/>
    <col min="26" max="26" width="9.50833333333333" style="1" customWidth="1"/>
    <col min="27" max="27" width="9.75" style="1" customWidth="1"/>
    <col min="28" max="28" width="10.875" style="1" customWidth="1"/>
    <col min="29" max="29" width="29.375" customWidth="1"/>
    <col min="31" max="31" width="16.25" customWidth="1"/>
    <col min="32" max="32" width="18.125" customWidth="1"/>
    <col min="33" max="33" width="20" customWidth="1"/>
  </cols>
  <sheetData>
    <row r="1" customFormat="1" ht="21" customHeight="1" spans="1:29">
      <c r="A1" s="22" t="s">
        <v>178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32"/>
      <c r="X1" s="32" t="s">
        <v>179</v>
      </c>
      <c r="Y1" s="73"/>
      <c r="Z1" s="73"/>
      <c r="AA1" s="73"/>
      <c r="AB1" s="33"/>
    </row>
    <row r="2" customFormat="1" ht="21" customHeight="1" spans="1:29">
      <c r="A2" s="22" t="s">
        <v>180</v>
      </c>
      <c r="B2" s="22"/>
      <c r="C2" s="22" t="s">
        <v>181</v>
      </c>
      <c r="D2" s="22"/>
      <c r="E2" s="22"/>
      <c r="F2" s="22"/>
      <c r="G2" s="22"/>
      <c r="H2" s="22"/>
      <c r="I2" s="22"/>
      <c r="J2" s="22" t="s">
        <v>182</v>
      </c>
      <c r="K2" s="22"/>
      <c r="L2" s="22"/>
      <c r="M2" s="22"/>
      <c r="N2" s="22"/>
      <c r="O2" s="22"/>
      <c r="P2" s="32" t="s">
        <v>183</v>
      </c>
      <c r="Q2" s="73"/>
      <c r="R2" s="73"/>
      <c r="S2" s="33"/>
      <c r="T2" s="22" t="s">
        <v>184</v>
      </c>
      <c r="U2" s="22"/>
      <c r="V2" s="22"/>
      <c r="W2" s="32"/>
      <c r="X2" s="32" t="s">
        <v>185</v>
      </c>
      <c r="Y2" s="33"/>
      <c r="Z2" s="32" t="s">
        <v>186</v>
      </c>
      <c r="AA2" s="73"/>
      <c r="AB2" s="33"/>
    </row>
    <row r="3" customFormat="1" ht="39" customHeight="1" spans="1:29">
      <c r="A3" s="32" t="s">
        <v>187</v>
      </c>
      <c r="B3" s="33"/>
      <c r="C3" s="74" t="s">
        <v>188</v>
      </c>
      <c r="D3" s="74" t="s">
        <v>189</v>
      </c>
      <c r="E3" s="74" t="s">
        <v>190</v>
      </c>
      <c r="F3" s="74" t="s">
        <v>189</v>
      </c>
      <c r="G3" s="74" t="s">
        <v>191</v>
      </c>
      <c r="H3" s="74" t="s">
        <v>189</v>
      </c>
      <c r="I3" s="74" t="s">
        <v>192</v>
      </c>
      <c r="J3" s="74" t="s">
        <v>188</v>
      </c>
      <c r="K3" s="74" t="s">
        <v>189</v>
      </c>
      <c r="L3" s="74" t="s">
        <v>190</v>
      </c>
      <c r="M3" s="74" t="s">
        <v>189</v>
      </c>
      <c r="N3" s="74" t="s">
        <v>191</v>
      </c>
      <c r="O3" s="74" t="s">
        <v>189</v>
      </c>
      <c r="P3" s="74" t="s">
        <v>193</v>
      </c>
      <c r="Q3" s="74" t="s">
        <v>194</v>
      </c>
      <c r="R3" s="74" t="s">
        <v>195</v>
      </c>
      <c r="S3" s="74" t="s">
        <v>196</v>
      </c>
      <c r="T3" s="35" t="s">
        <v>188</v>
      </c>
      <c r="U3" s="74" t="s">
        <v>190</v>
      </c>
      <c r="V3" s="74" t="s">
        <v>197</v>
      </c>
      <c r="W3" s="74" t="s">
        <v>198</v>
      </c>
      <c r="X3" s="74" t="s">
        <v>199</v>
      </c>
      <c r="Y3" s="74" t="s">
        <v>200</v>
      </c>
      <c r="Z3" s="74" t="s">
        <v>201</v>
      </c>
      <c r="AA3" s="74" t="s">
        <v>202</v>
      </c>
      <c r="AB3" s="167" t="s">
        <v>203</v>
      </c>
    </row>
    <row r="4" customFormat="1" spans="1:29">
      <c r="A4" s="3" t="s">
        <v>204</v>
      </c>
      <c r="B4" s="6" t="s">
        <v>12</v>
      </c>
      <c r="C4" s="6">
        <v>496</v>
      </c>
      <c r="D4" s="6">
        <v>104</v>
      </c>
      <c r="E4" s="75">
        <v>183152.4</v>
      </c>
      <c r="F4" s="76">
        <v>0.2271</v>
      </c>
      <c r="G4" s="75">
        <v>369.26</v>
      </c>
      <c r="H4" s="76">
        <v>-0.0302</v>
      </c>
      <c r="I4" s="6">
        <v>0</v>
      </c>
      <c r="J4" s="6">
        <v>131</v>
      </c>
      <c r="K4" s="6">
        <v>-36</v>
      </c>
      <c r="L4" s="77">
        <v>46704</v>
      </c>
      <c r="M4" s="76">
        <v>-0.2028</v>
      </c>
      <c r="N4" s="75">
        <v>356.52</v>
      </c>
      <c r="O4" s="76">
        <v>0.0163</v>
      </c>
      <c r="P4" s="78">
        <v>0</v>
      </c>
      <c r="Q4" s="44">
        <v>1152068.05</v>
      </c>
      <c r="R4" s="44">
        <v>6195</v>
      </c>
      <c r="S4" s="3">
        <v>0</v>
      </c>
      <c r="T4" s="168">
        <v>627</v>
      </c>
      <c r="U4" s="75">
        <v>1388119.45</v>
      </c>
      <c r="V4" s="77">
        <v>33050</v>
      </c>
      <c r="W4" s="45">
        <v>42</v>
      </c>
      <c r="X4" s="3">
        <v>900</v>
      </c>
      <c r="Y4" s="145">
        <v>-273</v>
      </c>
      <c r="Z4" s="3">
        <v>16200</v>
      </c>
      <c r="AA4" s="3">
        <v>9816</v>
      </c>
      <c r="AB4" s="169">
        <v>-6384</v>
      </c>
      <c r="AC4" s="104"/>
    </row>
    <row r="5" s="163" customFormat="1" spans="1:29">
      <c r="A5" s="9"/>
      <c r="B5" s="8" t="s">
        <v>19</v>
      </c>
      <c r="C5" s="8">
        <v>2849</v>
      </c>
      <c r="D5" s="8">
        <v>-97</v>
      </c>
      <c r="E5" s="80">
        <v>431050.03</v>
      </c>
      <c r="F5" s="81">
        <v>-0.107</v>
      </c>
      <c r="G5" s="80">
        <v>151.3</v>
      </c>
      <c r="H5" s="81">
        <v>-0.0766</v>
      </c>
      <c r="I5" s="8">
        <v>187871.591</v>
      </c>
      <c r="J5" s="8">
        <v>148</v>
      </c>
      <c r="K5" s="8">
        <v>-54</v>
      </c>
      <c r="L5" s="82">
        <v>42843</v>
      </c>
      <c r="M5" s="81">
        <v>-0.0504</v>
      </c>
      <c r="N5" s="80">
        <v>289.48</v>
      </c>
      <c r="O5" s="81">
        <v>0.2961</v>
      </c>
      <c r="P5" s="83">
        <v>6218.94</v>
      </c>
      <c r="Q5" s="51">
        <v>0</v>
      </c>
      <c r="R5" s="51">
        <v>9540</v>
      </c>
      <c r="S5" s="9"/>
      <c r="T5" s="168">
        <v>2997</v>
      </c>
      <c r="U5" s="80">
        <v>677523.56</v>
      </c>
      <c r="V5" s="82">
        <v>20531</v>
      </c>
      <c r="W5" s="52">
        <v>33</v>
      </c>
      <c r="X5" s="9">
        <v>2500</v>
      </c>
      <c r="Y5" s="148">
        <v>497</v>
      </c>
      <c r="Z5" s="9">
        <v>45000</v>
      </c>
      <c r="AA5" s="9">
        <v>49206</v>
      </c>
      <c r="AB5" s="170">
        <v>4206</v>
      </c>
      <c r="AC5" s="171"/>
    </row>
    <row r="6" customFormat="1" spans="1:29">
      <c r="A6" s="3"/>
      <c r="B6" s="6" t="s">
        <v>30</v>
      </c>
      <c r="C6" s="6">
        <v>2284</v>
      </c>
      <c r="D6" s="6">
        <v>134</v>
      </c>
      <c r="E6" s="75">
        <v>519472.11</v>
      </c>
      <c r="F6" s="76">
        <v>0.0169</v>
      </c>
      <c r="G6" s="75">
        <v>227.44</v>
      </c>
      <c r="H6" s="76">
        <v>-0.0428</v>
      </c>
      <c r="I6" s="6">
        <v>119238.5838</v>
      </c>
      <c r="J6" s="6">
        <v>249</v>
      </c>
      <c r="K6" s="6">
        <v>113</v>
      </c>
      <c r="L6" s="77">
        <v>82971</v>
      </c>
      <c r="M6" s="76">
        <v>0.2888</v>
      </c>
      <c r="N6" s="75">
        <v>333.22</v>
      </c>
      <c r="O6" s="76">
        <v>-0.2961</v>
      </c>
      <c r="P6" s="78">
        <v>0</v>
      </c>
      <c r="Q6" s="44">
        <v>9509</v>
      </c>
      <c r="R6" s="44">
        <v>0</v>
      </c>
      <c r="S6" s="3"/>
      <c r="T6" s="168">
        <v>2533</v>
      </c>
      <c r="U6" s="75">
        <v>731190.69</v>
      </c>
      <c r="V6" s="77">
        <v>12607</v>
      </c>
      <c r="W6" s="45">
        <v>58</v>
      </c>
      <c r="X6" s="3">
        <v>3000</v>
      </c>
      <c r="Y6" s="145">
        <v>-467</v>
      </c>
      <c r="Z6" s="3">
        <v>54000</v>
      </c>
      <c r="AA6" s="3">
        <v>37125</v>
      </c>
      <c r="AB6" s="169">
        <v>-16875</v>
      </c>
      <c r="AC6" s="104"/>
    </row>
    <row r="7" s="163" customFormat="1" spans="1:29">
      <c r="A7" s="9"/>
      <c r="B7" s="8" t="s">
        <v>46</v>
      </c>
      <c r="C7" s="8">
        <v>1331</v>
      </c>
      <c r="D7" s="8">
        <v>358</v>
      </c>
      <c r="E7" s="80">
        <v>350404.39</v>
      </c>
      <c r="F7" s="81">
        <v>0.2509</v>
      </c>
      <c r="G7" s="80">
        <v>263.26</v>
      </c>
      <c r="H7" s="81">
        <v>-0.0856</v>
      </c>
      <c r="I7" s="8">
        <v>44859.8148</v>
      </c>
      <c r="J7" s="8">
        <v>43</v>
      </c>
      <c r="K7" s="8">
        <v>21</v>
      </c>
      <c r="L7" s="82">
        <v>12247</v>
      </c>
      <c r="M7" s="81">
        <v>1.8</v>
      </c>
      <c r="N7" s="80">
        <v>284.81</v>
      </c>
      <c r="O7" s="81">
        <v>0.4325</v>
      </c>
      <c r="P7" s="83">
        <v>52532.35</v>
      </c>
      <c r="Q7" s="51">
        <v>13281.6</v>
      </c>
      <c r="R7" s="51">
        <v>25922.52</v>
      </c>
      <c r="S7" s="9"/>
      <c r="T7" s="168">
        <v>1374</v>
      </c>
      <c r="U7" s="80">
        <v>499247.67</v>
      </c>
      <c r="V7" s="82">
        <v>23774</v>
      </c>
      <c r="W7" s="52">
        <v>21</v>
      </c>
      <c r="X7" s="9">
        <v>1100</v>
      </c>
      <c r="Y7" s="148">
        <v>274</v>
      </c>
      <c r="Z7" s="9">
        <v>19800</v>
      </c>
      <c r="AA7" s="9">
        <v>23252</v>
      </c>
      <c r="AB7" s="170">
        <v>3452</v>
      </c>
      <c r="AC7" s="171"/>
    </row>
    <row r="8" customFormat="1" spans="1:29">
      <c r="A8" s="3"/>
      <c r="B8" s="6" t="s">
        <v>50</v>
      </c>
      <c r="C8" s="6">
        <v>1957</v>
      </c>
      <c r="D8" s="6">
        <v>-203</v>
      </c>
      <c r="E8" s="75">
        <v>628333.08</v>
      </c>
      <c r="F8" s="76">
        <v>-0.072</v>
      </c>
      <c r="G8" s="75">
        <v>321.07</v>
      </c>
      <c r="H8" s="76">
        <v>0.0243</v>
      </c>
      <c r="I8" s="6">
        <v>495.0306</v>
      </c>
      <c r="J8" s="6">
        <v>14</v>
      </c>
      <c r="K8" s="6">
        <v>6</v>
      </c>
      <c r="L8" s="77">
        <v>2553</v>
      </c>
      <c r="M8" s="76">
        <v>0.575</v>
      </c>
      <c r="N8" s="75">
        <v>182.36</v>
      </c>
      <c r="O8" s="76">
        <v>-0.1</v>
      </c>
      <c r="P8" s="78">
        <v>0</v>
      </c>
      <c r="Q8" s="44">
        <v>71280.5</v>
      </c>
      <c r="R8" s="44">
        <v>7290</v>
      </c>
      <c r="S8" s="3"/>
      <c r="T8" s="168">
        <v>1971</v>
      </c>
      <c r="U8" s="75">
        <v>709951.61</v>
      </c>
      <c r="V8" s="77">
        <v>22186</v>
      </c>
      <c r="W8" s="45">
        <v>32</v>
      </c>
      <c r="X8" s="3">
        <v>1500</v>
      </c>
      <c r="Y8" s="145">
        <v>471</v>
      </c>
      <c r="Z8" s="3">
        <v>27000</v>
      </c>
      <c r="AA8" s="3">
        <v>37496</v>
      </c>
      <c r="AB8" s="169">
        <v>10496</v>
      </c>
      <c r="AC8" s="104"/>
    </row>
    <row r="9" s="163" customFormat="1" spans="1:29">
      <c r="A9" s="9"/>
      <c r="B9" s="8" t="s">
        <v>9</v>
      </c>
      <c r="C9" s="8">
        <v>246</v>
      </c>
      <c r="D9" s="8">
        <v>-36</v>
      </c>
      <c r="E9" s="80">
        <v>41928.99</v>
      </c>
      <c r="F9" s="81">
        <v>-0.0371</v>
      </c>
      <c r="G9" s="80">
        <v>170.44</v>
      </c>
      <c r="H9" s="81">
        <v>0.1037</v>
      </c>
      <c r="I9" s="8">
        <v>10905.0574</v>
      </c>
      <c r="J9" s="8">
        <v>422</v>
      </c>
      <c r="K9" s="8">
        <v>-492</v>
      </c>
      <c r="L9" s="82">
        <v>50873</v>
      </c>
      <c r="M9" s="81">
        <v>-0.3272</v>
      </c>
      <c r="N9" s="80">
        <v>120.55</v>
      </c>
      <c r="O9" s="81">
        <v>0.4571</v>
      </c>
      <c r="P9" s="83">
        <v>2689.8</v>
      </c>
      <c r="Q9" s="51">
        <v>82306</v>
      </c>
      <c r="R9" s="51">
        <v>46144</v>
      </c>
      <c r="S9" s="9">
        <v>0</v>
      </c>
      <c r="T9" s="168">
        <v>668</v>
      </c>
      <c r="U9" s="80">
        <v>234846.85</v>
      </c>
      <c r="V9" s="82">
        <v>13047</v>
      </c>
      <c r="W9" s="52">
        <v>18</v>
      </c>
      <c r="X9" s="9">
        <v>600</v>
      </c>
      <c r="Y9" s="148">
        <v>68</v>
      </c>
      <c r="Z9" s="9">
        <v>10800</v>
      </c>
      <c r="AA9" s="9">
        <v>11177</v>
      </c>
      <c r="AB9" s="170">
        <v>377</v>
      </c>
      <c r="AC9" s="171"/>
    </row>
    <row r="10" s="164" customFormat="1" ht="16.15" customHeight="1" spans="1:29">
      <c r="A10" s="53"/>
      <c r="B10" s="12" t="s">
        <v>205</v>
      </c>
      <c r="C10" s="12">
        <v>9163</v>
      </c>
      <c r="D10" s="12">
        <v>260</v>
      </c>
      <c r="E10" s="85">
        <v>2154341</v>
      </c>
      <c r="F10" s="86">
        <v>0.005</v>
      </c>
      <c r="G10" s="85">
        <v>235.11</v>
      </c>
      <c r="H10" s="86">
        <v>-0.0235</v>
      </c>
      <c r="I10" s="12">
        <v>363370.0776</v>
      </c>
      <c r="J10" s="12">
        <v>1007</v>
      </c>
      <c r="K10" s="12">
        <v>-442</v>
      </c>
      <c r="L10" s="87">
        <v>238191</v>
      </c>
      <c r="M10" s="86">
        <v>-0.046</v>
      </c>
      <c r="N10" s="85">
        <v>236.54</v>
      </c>
      <c r="O10" s="86">
        <v>0.3727</v>
      </c>
      <c r="P10" s="88">
        <v>61441.09</v>
      </c>
      <c r="Q10" s="59">
        <v>1328445.15</v>
      </c>
      <c r="R10" s="59">
        <v>95091.52</v>
      </c>
      <c r="S10" s="59">
        <v>0</v>
      </c>
      <c r="T10" s="172">
        <v>10170</v>
      </c>
      <c r="U10" s="85">
        <v>4240879.83</v>
      </c>
      <c r="V10" s="87">
        <v>20789</v>
      </c>
      <c r="W10" s="60">
        <v>204</v>
      </c>
      <c r="X10" s="53">
        <v>9600</v>
      </c>
      <c r="Y10" s="173">
        <v>570</v>
      </c>
      <c r="Z10" s="53">
        <v>172800</v>
      </c>
      <c r="AA10" s="53">
        <v>168072</v>
      </c>
      <c r="AB10" s="174">
        <v>-4728</v>
      </c>
      <c r="AC10" s="175"/>
    </row>
    <row r="11" customFormat="1" spans="1:29">
      <c r="A11" s="10" t="s">
        <v>206</v>
      </c>
      <c r="B11" s="6" t="s">
        <v>55</v>
      </c>
      <c r="C11" s="6">
        <v>2512</v>
      </c>
      <c r="D11" s="6">
        <v>-189</v>
      </c>
      <c r="E11" s="75">
        <v>708298.26</v>
      </c>
      <c r="F11" s="76">
        <v>0.0515</v>
      </c>
      <c r="G11" s="75">
        <v>281.97</v>
      </c>
      <c r="H11" s="76">
        <v>0.1306</v>
      </c>
      <c r="I11" s="6">
        <v>113431.7024</v>
      </c>
      <c r="J11" s="6">
        <v>20</v>
      </c>
      <c r="K11" s="6">
        <v>10</v>
      </c>
      <c r="L11" s="77">
        <v>3620</v>
      </c>
      <c r="M11" s="76">
        <v>0.5159</v>
      </c>
      <c r="N11" s="75">
        <v>181</v>
      </c>
      <c r="O11" s="76">
        <v>-0.242</v>
      </c>
      <c r="P11" s="78">
        <v>21766.6</v>
      </c>
      <c r="Q11" s="3"/>
      <c r="R11" s="3"/>
      <c r="S11" s="3"/>
      <c r="T11" s="168">
        <v>2532</v>
      </c>
      <c r="U11" s="75">
        <v>847116.56</v>
      </c>
      <c r="V11" s="91"/>
      <c r="W11" s="92"/>
      <c r="X11" s="20"/>
      <c r="Y11" s="20"/>
      <c r="Z11" s="20"/>
      <c r="AA11" s="20"/>
      <c r="AB11" s="20"/>
    </row>
    <row r="12" customFormat="1" spans="1:29">
      <c r="A12" s="61"/>
      <c r="B12" s="6" t="s">
        <v>76</v>
      </c>
      <c r="C12" s="6">
        <v>698</v>
      </c>
      <c r="D12" s="6">
        <v>189</v>
      </c>
      <c r="E12" s="75">
        <v>161514.97</v>
      </c>
      <c r="F12" s="76">
        <v>0.0605</v>
      </c>
      <c r="G12" s="75">
        <v>231.4</v>
      </c>
      <c r="H12" s="76">
        <v>-0.2266</v>
      </c>
      <c r="I12" s="6">
        <v>26456.6354</v>
      </c>
      <c r="J12" s="6">
        <v>4</v>
      </c>
      <c r="K12" s="6">
        <v>4</v>
      </c>
      <c r="L12" s="77">
        <v>1988</v>
      </c>
      <c r="M12" s="76" t="e">
        <v>#DIV/0!</v>
      </c>
      <c r="N12" s="75">
        <v>497</v>
      </c>
      <c r="O12" s="76" t="e">
        <v>#DIV/0!</v>
      </c>
      <c r="P12" s="78">
        <v>0</v>
      </c>
      <c r="Q12" s="3"/>
      <c r="R12" s="3"/>
      <c r="S12" s="3"/>
      <c r="T12" s="168">
        <v>702</v>
      </c>
      <c r="U12" s="75">
        <v>189959.61</v>
      </c>
      <c r="V12" s="93"/>
      <c r="W12" s="6"/>
      <c r="X12" s="3"/>
      <c r="Y12" s="3"/>
      <c r="Z12" s="3"/>
      <c r="AA12" s="3"/>
      <c r="AB12" s="3"/>
    </row>
    <row r="13" customFormat="1" spans="1:29">
      <c r="A13" s="61"/>
      <c r="B13" s="6" t="s">
        <v>83</v>
      </c>
      <c r="C13" s="6">
        <v>617</v>
      </c>
      <c r="D13" s="6">
        <v>155</v>
      </c>
      <c r="E13" s="75">
        <v>133284.5</v>
      </c>
      <c r="F13" s="76">
        <v>0.5511</v>
      </c>
      <c r="G13" s="75">
        <v>216.02</v>
      </c>
      <c r="H13" s="76">
        <v>0.1615</v>
      </c>
      <c r="I13" s="6">
        <v>38934.9978</v>
      </c>
      <c r="J13" s="6">
        <v>51</v>
      </c>
      <c r="K13" s="6">
        <v>30</v>
      </c>
      <c r="L13" s="77">
        <v>13449</v>
      </c>
      <c r="M13" s="76">
        <v>1.8451</v>
      </c>
      <c r="N13" s="75">
        <v>263.71</v>
      </c>
      <c r="O13" s="76">
        <v>0.1715</v>
      </c>
      <c r="P13" s="78">
        <v>0</v>
      </c>
      <c r="Q13" s="3"/>
      <c r="R13" s="3"/>
      <c r="S13" s="3"/>
      <c r="T13" s="168">
        <v>668</v>
      </c>
      <c r="U13" s="75">
        <v>185668.5</v>
      </c>
      <c r="V13" s="93"/>
      <c r="W13" s="6"/>
      <c r="X13" s="3"/>
      <c r="Y13" s="3"/>
      <c r="Z13" s="3"/>
      <c r="AA13" s="3"/>
      <c r="AB13" s="3"/>
    </row>
    <row r="14" customFormat="1" spans="1:29">
      <c r="A14" s="61"/>
      <c r="B14" s="6" t="s">
        <v>98</v>
      </c>
      <c r="C14" s="6">
        <v>340</v>
      </c>
      <c r="D14" s="6">
        <v>12</v>
      </c>
      <c r="E14" s="75">
        <v>49228.17</v>
      </c>
      <c r="F14" s="76">
        <v>0.3322</v>
      </c>
      <c r="G14" s="75">
        <v>144.79</v>
      </c>
      <c r="H14" s="76">
        <v>0.2852</v>
      </c>
      <c r="I14" s="6">
        <v>22759.4508</v>
      </c>
      <c r="J14" s="6">
        <v>0</v>
      </c>
      <c r="K14" s="6">
        <v>0</v>
      </c>
      <c r="L14" s="77">
        <v>0</v>
      </c>
      <c r="M14" s="76" t="e">
        <v>#DIV/0!</v>
      </c>
      <c r="N14" s="75" t="e">
        <v>#DIV/0!</v>
      </c>
      <c r="O14" s="76" t="e">
        <v>#DIV/0!</v>
      </c>
      <c r="P14" s="78">
        <v>0</v>
      </c>
      <c r="Q14" s="3"/>
      <c r="R14" s="3"/>
      <c r="S14" s="3"/>
      <c r="T14" s="168">
        <v>340</v>
      </c>
      <c r="U14" s="75">
        <v>71987.62</v>
      </c>
      <c r="V14" s="93"/>
      <c r="W14" s="6"/>
      <c r="X14" s="3"/>
      <c r="Y14" s="3"/>
      <c r="Z14" s="3"/>
      <c r="AA14" s="3"/>
      <c r="AB14" s="3"/>
    </row>
    <row r="15" customFormat="1" spans="1:29">
      <c r="A15" s="61"/>
      <c r="B15" s="6" t="s">
        <v>108</v>
      </c>
      <c r="C15" s="6">
        <v>326</v>
      </c>
      <c r="D15" s="6">
        <v>-28</v>
      </c>
      <c r="E15" s="75">
        <v>75398.21</v>
      </c>
      <c r="F15" s="76">
        <v>0.0982</v>
      </c>
      <c r="G15" s="75">
        <v>231.28</v>
      </c>
      <c r="H15" s="76">
        <v>0.1925</v>
      </c>
      <c r="I15" s="6">
        <v>18490.8732</v>
      </c>
      <c r="J15" s="6">
        <v>0</v>
      </c>
      <c r="K15" s="6">
        <v>0</v>
      </c>
      <c r="L15" s="77">
        <v>0</v>
      </c>
      <c r="M15" s="76" t="e">
        <v>#DIV/0!</v>
      </c>
      <c r="N15" s="75" t="e">
        <v>#DIV/0!</v>
      </c>
      <c r="O15" s="76" t="e">
        <v>#DIV/0!</v>
      </c>
      <c r="P15" s="78">
        <v>0</v>
      </c>
      <c r="Q15" s="3"/>
      <c r="R15" s="3"/>
      <c r="S15" s="3"/>
      <c r="T15" s="168">
        <v>326</v>
      </c>
      <c r="U15" s="75">
        <v>93889.08</v>
      </c>
      <c r="V15" s="93"/>
      <c r="W15" s="6"/>
      <c r="X15" s="3"/>
      <c r="Y15" s="3"/>
      <c r="Z15" s="3"/>
      <c r="AA15" s="3"/>
      <c r="AB15" s="3"/>
    </row>
    <row r="16" customFormat="1" spans="1:29">
      <c r="A16" s="61"/>
      <c r="B16" s="6" t="s">
        <v>117</v>
      </c>
      <c r="C16" s="6">
        <v>18</v>
      </c>
      <c r="D16" s="6">
        <v>-2</v>
      </c>
      <c r="E16" s="75">
        <v>3784.37</v>
      </c>
      <c r="F16" s="76">
        <v>-0.6598</v>
      </c>
      <c r="G16" s="75">
        <v>210.24</v>
      </c>
      <c r="H16" s="76">
        <v>-0.622</v>
      </c>
      <c r="I16" s="6">
        <v>1030.0444</v>
      </c>
      <c r="J16" s="6">
        <v>0</v>
      </c>
      <c r="K16" s="6">
        <v>0</v>
      </c>
      <c r="L16" s="77">
        <v>0</v>
      </c>
      <c r="M16" s="76" t="e">
        <v>#DIV/0!</v>
      </c>
      <c r="N16" s="75" t="e">
        <v>#DIV/0!</v>
      </c>
      <c r="O16" s="76" t="e">
        <v>#DIV/0!</v>
      </c>
      <c r="P16" s="78">
        <v>0</v>
      </c>
      <c r="Q16" s="3"/>
      <c r="R16" s="3"/>
      <c r="S16" s="3"/>
      <c r="T16" s="168">
        <v>18</v>
      </c>
      <c r="U16" s="75">
        <v>4814.41</v>
      </c>
      <c r="V16" s="93"/>
      <c r="W16" s="6"/>
      <c r="X16" s="3"/>
      <c r="Y16" s="3"/>
      <c r="Z16" s="3"/>
      <c r="AA16" s="3"/>
      <c r="AB16" s="3"/>
    </row>
    <row r="17" customFormat="1" spans="1:28">
      <c r="A17" s="61"/>
      <c r="B17" s="6" t="s">
        <v>126</v>
      </c>
      <c r="C17" s="6">
        <v>720</v>
      </c>
      <c r="D17" s="6">
        <v>-162</v>
      </c>
      <c r="E17" s="75">
        <v>195354.31</v>
      </c>
      <c r="F17" s="76">
        <v>-0.1674</v>
      </c>
      <c r="G17" s="75">
        <v>271.33</v>
      </c>
      <c r="H17" s="76">
        <v>0.0199</v>
      </c>
      <c r="I17" s="6">
        <v>50487.2912</v>
      </c>
      <c r="J17" s="6">
        <v>3</v>
      </c>
      <c r="K17" s="6">
        <v>0</v>
      </c>
      <c r="L17" s="77">
        <v>581</v>
      </c>
      <c r="M17" s="76">
        <v>0.1326</v>
      </c>
      <c r="N17" s="75">
        <v>193.67</v>
      </c>
      <c r="O17" s="76">
        <v>0.1326</v>
      </c>
      <c r="P17" s="78">
        <v>0</v>
      </c>
      <c r="Q17" s="3"/>
      <c r="R17" s="3"/>
      <c r="S17" s="3"/>
      <c r="T17" s="168">
        <v>723</v>
      </c>
      <c r="U17" s="75">
        <v>246422.6</v>
      </c>
      <c r="V17" s="93"/>
      <c r="W17" s="6"/>
      <c r="X17" s="3"/>
      <c r="Y17" s="176"/>
      <c r="Z17" s="176"/>
      <c r="AA17" s="3"/>
      <c r="AB17" s="3"/>
    </row>
    <row r="18" customFormat="1" ht="18" customHeight="1" spans="1:28">
      <c r="A18" s="61"/>
      <c r="B18" s="6" t="s">
        <v>68</v>
      </c>
      <c r="C18" s="6">
        <v>643</v>
      </c>
      <c r="D18" s="6">
        <v>79</v>
      </c>
      <c r="E18" s="75">
        <v>180389.36</v>
      </c>
      <c r="F18" s="76">
        <v>0.2037</v>
      </c>
      <c r="G18" s="75">
        <v>280.54</v>
      </c>
      <c r="H18" s="76">
        <v>0.0558</v>
      </c>
      <c r="I18" s="6">
        <v>38865.7162</v>
      </c>
      <c r="J18" s="6">
        <v>0</v>
      </c>
      <c r="K18" s="6">
        <v>0</v>
      </c>
      <c r="L18" s="77">
        <v>0</v>
      </c>
      <c r="M18" s="76" t="e">
        <v>#DIV/0!</v>
      </c>
      <c r="N18" s="75" t="e">
        <v>#DIV/0!</v>
      </c>
      <c r="O18" s="76" t="e">
        <v>#DIV/0!</v>
      </c>
      <c r="P18" s="78">
        <v>0</v>
      </c>
      <c r="Q18" s="3"/>
      <c r="R18" s="3"/>
      <c r="S18" s="3"/>
      <c r="T18" s="168">
        <v>643</v>
      </c>
      <c r="U18" s="75">
        <v>219255.08</v>
      </c>
      <c r="V18" s="93"/>
      <c r="W18" s="6"/>
      <c r="X18" s="3"/>
      <c r="Y18" s="176"/>
      <c r="Z18" s="176"/>
      <c r="AA18" s="3"/>
      <c r="AB18" s="3"/>
    </row>
    <row r="19" customFormat="1" ht="18" customHeight="1" spans="1:28">
      <c r="A19" s="61"/>
      <c r="B19" s="6" t="s">
        <v>141</v>
      </c>
      <c r="C19" s="6">
        <v>5</v>
      </c>
      <c r="D19" s="6">
        <v>1</v>
      </c>
      <c r="E19" s="75">
        <v>1694.59</v>
      </c>
      <c r="F19" s="76">
        <v>-0.1101</v>
      </c>
      <c r="G19" s="75">
        <v>338.92</v>
      </c>
      <c r="H19" s="76">
        <v>-0.2881</v>
      </c>
      <c r="I19" s="6">
        <v>374.975</v>
      </c>
      <c r="J19" s="6">
        <v>0</v>
      </c>
      <c r="K19" s="6">
        <v>0</v>
      </c>
      <c r="L19" s="77">
        <v>0</v>
      </c>
      <c r="M19" s="76" t="e">
        <v>#DIV/0!</v>
      </c>
      <c r="N19" s="75" t="e">
        <v>#DIV/0!</v>
      </c>
      <c r="O19" s="76" t="e">
        <v>#DIV/0!</v>
      </c>
      <c r="P19" s="78">
        <v>0</v>
      </c>
      <c r="Q19" s="3"/>
      <c r="R19" s="3"/>
      <c r="S19" s="3"/>
      <c r="T19" s="168">
        <v>5</v>
      </c>
      <c r="U19" s="75">
        <v>2069.57</v>
      </c>
      <c r="V19" s="93"/>
      <c r="W19" s="6"/>
      <c r="X19" s="3"/>
      <c r="Y19" s="176"/>
      <c r="Z19" s="176"/>
      <c r="AA19" s="3"/>
      <c r="AB19" s="3"/>
    </row>
    <row r="20" customFormat="1" ht="18" customHeight="1" spans="1:28">
      <c r="A20" s="61"/>
      <c r="B20" s="6" t="s">
        <v>143</v>
      </c>
      <c r="C20" s="6">
        <v>783</v>
      </c>
      <c r="D20" s="6">
        <v>-65</v>
      </c>
      <c r="E20" s="75">
        <v>132815.34</v>
      </c>
      <c r="F20" s="76">
        <v>0.0053</v>
      </c>
      <c r="G20" s="75">
        <v>169.62</v>
      </c>
      <c r="H20" s="76">
        <v>0.0888</v>
      </c>
      <c r="I20" s="6">
        <v>45846.4946</v>
      </c>
      <c r="J20" s="6">
        <v>11</v>
      </c>
      <c r="K20" s="6">
        <v>-8</v>
      </c>
      <c r="L20" s="77">
        <v>3474</v>
      </c>
      <c r="M20" s="76">
        <v>-0.4784</v>
      </c>
      <c r="N20" s="75">
        <v>315.82</v>
      </c>
      <c r="O20" s="76">
        <v>-0.099</v>
      </c>
      <c r="P20" s="78">
        <v>0</v>
      </c>
      <c r="Q20" s="3"/>
      <c r="R20" s="3"/>
      <c r="S20" s="3"/>
      <c r="T20" s="168">
        <v>794</v>
      </c>
      <c r="U20" s="75">
        <v>182135.83</v>
      </c>
      <c r="V20" s="93"/>
      <c r="W20" s="6"/>
      <c r="X20" s="3"/>
      <c r="Y20" s="176"/>
      <c r="Z20" s="176"/>
      <c r="AA20" s="3"/>
      <c r="AB20" s="3"/>
    </row>
    <row r="21" customFormat="1" ht="18" customHeight="1" spans="1:28">
      <c r="A21" s="61"/>
      <c r="B21" s="6" t="s">
        <v>151</v>
      </c>
      <c r="C21" s="6">
        <v>161</v>
      </c>
      <c r="D21" s="6">
        <v>-35</v>
      </c>
      <c r="E21" s="75">
        <v>28371.25</v>
      </c>
      <c r="F21" s="76">
        <v>-0.0313</v>
      </c>
      <c r="G21" s="75">
        <v>176.22</v>
      </c>
      <c r="H21" s="76">
        <v>0.1794</v>
      </c>
      <c r="I21" s="6">
        <v>0</v>
      </c>
      <c r="J21" s="6">
        <v>0</v>
      </c>
      <c r="K21" s="6">
        <v>0</v>
      </c>
      <c r="L21" s="77">
        <v>0</v>
      </c>
      <c r="M21" s="76" t="e">
        <v>#DIV/0!</v>
      </c>
      <c r="N21" s="75" t="e">
        <v>#DIV/0!</v>
      </c>
      <c r="O21" s="76" t="e">
        <v>#DIV/0!</v>
      </c>
      <c r="P21" s="78">
        <v>0</v>
      </c>
      <c r="Q21" s="3"/>
      <c r="R21" s="3"/>
      <c r="S21" s="3"/>
      <c r="T21" s="168">
        <v>161</v>
      </c>
      <c r="U21" s="75">
        <v>28371.25</v>
      </c>
      <c r="V21" s="93"/>
      <c r="W21" s="6"/>
      <c r="X21" s="3"/>
      <c r="Y21" s="176"/>
      <c r="Z21" s="176"/>
      <c r="AA21" s="3"/>
      <c r="AB21" s="3"/>
    </row>
    <row r="22" customFormat="1" ht="18" customHeight="1" spans="1:28">
      <c r="A22" s="61"/>
      <c r="B22" s="6" t="s">
        <v>153</v>
      </c>
      <c r="C22" s="6">
        <v>197</v>
      </c>
      <c r="D22" s="6">
        <v>-54</v>
      </c>
      <c r="E22" s="75">
        <v>41730.12</v>
      </c>
      <c r="F22" s="76">
        <v>-0.0637</v>
      </c>
      <c r="G22" s="75">
        <v>211.83</v>
      </c>
      <c r="H22" s="76">
        <v>0.1929</v>
      </c>
      <c r="I22" s="6">
        <v>11175.527</v>
      </c>
      <c r="J22" s="6">
        <v>0</v>
      </c>
      <c r="K22" s="6">
        <v>0</v>
      </c>
      <c r="L22" s="77">
        <v>0</v>
      </c>
      <c r="M22" s="76" t="e">
        <v>#DIV/0!</v>
      </c>
      <c r="N22" s="75" t="e">
        <v>#DIV/0!</v>
      </c>
      <c r="O22" s="76" t="e">
        <v>#DIV/0!</v>
      </c>
      <c r="P22" s="78">
        <v>0</v>
      </c>
      <c r="Q22" s="3"/>
      <c r="R22" s="3"/>
      <c r="S22" s="3"/>
      <c r="T22" s="168">
        <v>197</v>
      </c>
      <c r="U22" s="75">
        <v>52905.65</v>
      </c>
      <c r="V22" s="93"/>
      <c r="W22" s="6"/>
      <c r="X22" s="3"/>
      <c r="Y22" s="176"/>
      <c r="Z22" s="176"/>
      <c r="AA22" s="3"/>
      <c r="AB22" s="3"/>
    </row>
    <row r="23" customFormat="1" ht="18" customHeight="1" spans="1:28">
      <c r="A23" s="61"/>
      <c r="B23" s="6" t="s">
        <v>85</v>
      </c>
      <c r="C23" s="6">
        <v>741</v>
      </c>
      <c r="D23" s="6">
        <v>112</v>
      </c>
      <c r="E23" s="75">
        <v>277803.3</v>
      </c>
      <c r="F23" s="76">
        <v>0.2946</v>
      </c>
      <c r="G23" s="75">
        <v>374.9</v>
      </c>
      <c r="H23" s="76">
        <v>0.0989</v>
      </c>
      <c r="I23" s="6">
        <v>0</v>
      </c>
      <c r="J23" s="6">
        <v>0</v>
      </c>
      <c r="K23" s="6">
        <v>0</v>
      </c>
      <c r="L23" s="77">
        <v>0</v>
      </c>
      <c r="M23" s="76" t="e">
        <v>#DIV/0!</v>
      </c>
      <c r="N23" s="75" t="e">
        <v>#DIV/0!</v>
      </c>
      <c r="O23" s="76" t="e">
        <v>#DIV/0!</v>
      </c>
      <c r="P23" s="78">
        <v>0</v>
      </c>
      <c r="Q23" s="3"/>
      <c r="R23" s="3"/>
      <c r="S23" s="3"/>
      <c r="T23" s="168">
        <v>741</v>
      </c>
      <c r="U23" s="75">
        <v>277803.3</v>
      </c>
      <c r="V23" s="93"/>
      <c r="W23" s="6"/>
      <c r="X23" s="3"/>
      <c r="Y23" s="3"/>
      <c r="Z23" s="3"/>
      <c r="AA23" s="3"/>
      <c r="AB23" s="3"/>
    </row>
    <row r="24" customFormat="1" ht="18" customHeight="1" spans="1:28">
      <c r="A24" s="61"/>
      <c r="B24" s="6" t="s">
        <v>156</v>
      </c>
      <c r="C24" s="6">
        <v>5</v>
      </c>
      <c r="D24" s="6">
        <v>5</v>
      </c>
      <c r="E24" s="75">
        <v>2145.5</v>
      </c>
      <c r="F24" s="76" t="e">
        <v>#DIV/0!</v>
      </c>
      <c r="G24" s="75">
        <v>429.1</v>
      </c>
      <c r="H24" s="76" t="e">
        <v>#DIV/0!</v>
      </c>
      <c r="I24" s="6">
        <v>275.017</v>
      </c>
      <c r="J24" s="6">
        <v>0</v>
      </c>
      <c r="K24" s="6">
        <v>0</v>
      </c>
      <c r="L24" s="77">
        <v>0</v>
      </c>
      <c r="M24" s="76" t="e">
        <v>#DIV/0!</v>
      </c>
      <c r="N24" s="75" t="e">
        <v>#DIV/0!</v>
      </c>
      <c r="O24" s="76" t="e">
        <v>#DIV/0!</v>
      </c>
      <c r="P24" s="78">
        <v>0</v>
      </c>
      <c r="Q24" s="3"/>
      <c r="R24" s="3"/>
      <c r="S24" s="3"/>
      <c r="T24" s="168">
        <v>5</v>
      </c>
      <c r="U24" s="75">
        <v>2420.52</v>
      </c>
      <c r="V24" s="93"/>
      <c r="W24" s="6"/>
      <c r="X24" s="3"/>
      <c r="Y24" s="3"/>
      <c r="Z24" s="3"/>
      <c r="AA24" s="3"/>
      <c r="AB24" s="3"/>
    </row>
    <row r="25" customFormat="1" ht="18" customHeight="1" spans="1:28">
      <c r="A25" s="61"/>
      <c r="B25" s="6" t="s">
        <v>158</v>
      </c>
      <c r="C25" s="6">
        <v>71</v>
      </c>
      <c r="D25" s="6">
        <v>-6</v>
      </c>
      <c r="E25" s="75">
        <v>19239.45</v>
      </c>
      <c r="F25" s="76">
        <v>-0.5462</v>
      </c>
      <c r="G25" s="75">
        <v>270.98</v>
      </c>
      <c r="H25" s="76">
        <v>-0.5079</v>
      </c>
      <c r="I25" s="6">
        <v>3905.2414</v>
      </c>
      <c r="J25" s="6">
        <v>0</v>
      </c>
      <c r="K25" s="6">
        <v>0</v>
      </c>
      <c r="L25" s="77">
        <v>0</v>
      </c>
      <c r="M25" s="76" t="e">
        <v>#DIV/0!</v>
      </c>
      <c r="N25" s="75" t="e">
        <v>#DIV/0!</v>
      </c>
      <c r="O25" s="76" t="e">
        <v>#DIV/0!</v>
      </c>
      <c r="P25" s="78">
        <v>0</v>
      </c>
      <c r="Q25" s="3"/>
      <c r="R25" s="3"/>
      <c r="S25" s="3"/>
      <c r="T25" s="168">
        <v>71</v>
      </c>
      <c r="U25" s="75">
        <v>23144.69</v>
      </c>
      <c r="V25" s="93"/>
      <c r="W25" s="6"/>
      <c r="X25" s="3"/>
      <c r="Y25" s="3"/>
      <c r="Z25" s="3"/>
      <c r="AA25" s="3"/>
      <c r="AB25" s="3"/>
    </row>
    <row r="26" customFormat="1" ht="18" customHeight="1" spans="1:28">
      <c r="A26" s="61"/>
      <c r="B26" s="94" t="s">
        <v>161</v>
      </c>
      <c r="C26" s="6">
        <v>80</v>
      </c>
      <c r="D26" s="6">
        <v>-21</v>
      </c>
      <c r="E26" s="75">
        <v>32526.3</v>
      </c>
      <c r="F26" s="76">
        <v>-0.2193</v>
      </c>
      <c r="G26" s="75">
        <v>406.58</v>
      </c>
      <c r="H26" s="76">
        <v>-0.0143</v>
      </c>
      <c r="I26" s="6">
        <v>4400.272</v>
      </c>
      <c r="J26" s="6">
        <v>0</v>
      </c>
      <c r="K26" s="6">
        <v>0</v>
      </c>
      <c r="L26" s="77">
        <v>0</v>
      </c>
      <c r="M26" s="76" t="e">
        <v>#DIV/0!</v>
      </c>
      <c r="N26" s="75" t="e">
        <v>#DIV/0!</v>
      </c>
      <c r="O26" s="76" t="e">
        <v>#DIV/0!</v>
      </c>
      <c r="P26" s="78">
        <v>0</v>
      </c>
      <c r="Q26" s="3"/>
      <c r="R26" s="3"/>
      <c r="S26" s="3"/>
      <c r="T26" s="168">
        <v>80</v>
      </c>
      <c r="U26" s="75">
        <v>36926.57</v>
      </c>
      <c r="V26" s="93"/>
      <c r="W26" s="6"/>
      <c r="X26" s="3"/>
      <c r="Y26" s="3"/>
      <c r="Z26" s="3"/>
      <c r="AA26" s="3"/>
      <c r="AB26" s="3"/>
    </row>
    <row r="27" customFormat="1" ht="18" customHeight="1" spans="1:28">
      <c r="A27" s="61"/>
      <c r="B27" s="6" t="s">
        <v>14</v>
      </c>
      <c r="C27" s="6">
        <v>241</v>
      </c>
      <c r="D27" s="6">
        <v>55</v>
      </c>
      <c r="E27" s="75">
        <v>98230.14</v>
      </c>
      <c r="F27" s="76">
        <v>0.4545</v>
      </c>
      <c r="G27" s="75">
        <v>407.59</v>
      </c>
      <c r="H27" s="76">
        <v>0.1226</v>
      </c>
      <c r="I27" s="6">
        <v>0</v>
      </c>
      <c r="J27" s="6">
        <v>296</v>
      </c>
      <c r="K27" s="6">
        <v>-98</v>
      </c>
      <c r="L27" s="77">
        <v>59685</v>
      </c>
      <c r="M27" s="76">
        <v>-0.2291</v>
      </c>
      <c r="N27" s="75">
        <v>201.64</v>
      </c>
      <c r="O27" s="76">
        <v>0.0262</v>
      </c>
      <c r="P27" s="78">
        <v>0</v>
      </c>
      <c r="Q27" s="3"/>
      <c r="R27" s="3"/>
      <c r="S27" s="3"/>
      <c r="T27" s="168">
        <v>537</v>
      </c>
      <c r="U27" s="75">
        <v>157915.14</v>
      </c>
      <c r="V27" s="93"/>
      <c r="W27" s="6"/>
      <c r="X27" s="3"/>
      <c r="Y27" s="3"/>
      <c r="Z27" s="3"/>
      <c r="AA27" s="3"/>
      <c r="AB27" s="3"/>
    </row>
    <row r="28" customFormat="1" ht="18" customHeight="1" spans="1:28">
      <c r="A28" s="61"/>
      <c r="B28" s="6" t="s">
        <v>124</v>
      </c>
      <c r="C28" s="6">
        <v>16</v>
      </c>
      <c r="D28" s="6">
        <v>-22</v>
      </c>
      <c r="E28" s="75">
        <v>3157.37</v>
      </c>
      <c r="F28" s="76">
        <v>-0.5479</v>
      </c>
      <c r="G28" s="75">
        <v>197.34</v>
      </c>
      <c r="H28" s="76">
        <v>0.0737</v>
      </c>
      <c r="I28" s="6">
        <v>880.0544</v>
      </c>
      <c r="J28" s="6">
        <v>0</v>
      </c>
      <c r="K28" s="6">
        <v>0</v>
      </c>
      <c r="L28" s="77">
        <v>0</v>
      </c>
      <c r="M28" s="76" t="e">
        <v>#DIV/0!</v>
      </c>
      <c r="N28" s="75" t="e">
        <v>#DIV/0!</v>
      </c>
      <c r="O28" s="76" t="e">
        <v>#DIV/0!</v>
      </c>
      <c r="P28" s="78">
        <v>0</v>
      </c>
      <c r="Q28" s="3"/>
      <c r="R28" s="3"/>
      <c r="S28" s="3"/>
      <c r="T28" s="168">
        <v>16</v>
      </c>
      <c r="U28" s="75">
        <v>4037.42</v>
      </c>
      <c r="V28" s="93"/>
      <c r="W28" s="6"/>
      <c r="X28" s="3"/>
      <c r="Y28" s="3"/>
      <c r="Z28" s="3"/>
      <c r="AA28" s="3"/>
      <c r="AB28" s="3"/>
    </row>
    <row r="29" customFormat="1" ht="18" customHeight="1" spans="1:28">
      <c r="A29" s="61"/>
      <c r="B29" s="6" t="s">
        <v>165</v>
      </c>
      <c r="C29" s="6">
        <v>197</v>
      </c>
      <c r="D29" s="6">
        <v>107</v>
      </c>
      <c r="E29" s="75">
        <v>15304.09</v>
      </c>
      <c r="F29" s="76">
        <v>1.2594</v>
      </c>
      <c r="G29" s="75">
        <v>77.69</v>
      </c>
      <c r="H29" s="76">
        <v>0.0323</v>
      </c>
      <c r="I29" s="6">
        <v>11055.5774</v>
      </c>
      <c r="J29" s="6">
        <v>0</v>
      </c>
      <c r="K29" s="6">
        <v>0</v>
      </c>
      <c r="L29" s="77">
        <v>0</v>
      </c>
      <c r="M29" s="76" t="e">
        <v>#DIV/0!</v>
      </c>
      <c r="N29" s="75" t="e">
        <v>#DIV/0!</v>
      </c>
      <c r="O29" s="76" t="e">
        <v>#DIV/0!</v>
      </c>
      <c r="P29" s="78">
        <v>0</v>
      </c>
      <c r="Q29" s="3"/>
      <c r="R29" s="3"/>
      <c r="S29" s="3"/>
      <c r="T29" s="168">
        <v>197</v>
      </c>
      <c r="U29" s="75">
        <v>26359.67</v>
      </c>
      <c r="V29" s="93"/>
      <c r="W29" s="6"/>
      <c r="X29" s="3"/>
      <c r="Y29" s="3"/>
      <c r="Z29" s="3"/>
      <c r="AA29" s="3"/>
      <c r="AB29" s="3"/>
    </row>
    <row r="30" customFormat="1" ht="18" customHeight="1" spans="1:28">
      <c r="A30" s="61"/>
      <c r="B30" s="6" t="s">
        <v>147</v>
      </c>
      <c r="C30" s="6">
        <v>449</v>
      </c>
      <c r="D30" s="6">
        <v>-448</v>
      </c>
      <c r="E30" s="75">
        <v>98497.97</v>
      </c>
      <c r="F30" s="76">
        <v>-0.5783</v>
      </c>
      <c r="G30" s="75">
        <v>219.37</v>
      </c>
      <c r="H30" s="76">
        <v>-0.1576</v>
      </c>
      <c r="I30" s="6">
        <v>9405.5814</v>
      </c>
      <c r="J30" s="6">
        <v>0</v>
      </c>
      <c r="K30" s="6">
        <v>0</v>
      </c>
      <c r="L30" s="77">
        <v>0</v>
      </c>
      <c r="M30" s="76" t="e">
        <v>#DIV/0!</v>
      </c>
      <c r="N30" s="75" t="e">
        <v>#DIV/0!</v>
      </c>
      <c r="O30" s="76" t="e">
        <v>#DIV/0!</v>
      </c>
      <c r="P30" s="78">
        <v>0</v>
      </c>
      <c r="Q30" s="3"/>
      <c r="R30" s="3"/>
      <c r="S30" s="3"/>
      <c r="T30" s="168">
        <v>449</v>
      </c>
      <c r="U30" s="75">
        <v>107903.55</v>
      </c>
      <c r="V30" s="93"/>
      <c r="W30" s="6"/>
      <c r="X30" s="3"/>
      <c r="Y30" s="3"/>
      <c r="Z30" s="3"/>
      <c r="AA30" s="3"/>
      <c r="AB30" s="3"/>
    </row>
    <row r="31" s="164" customFormat="1" ht="18" customHeight="1" spans="1:28">
      <c r="A31" s="62"/>
      <c r="B31" s="6" t="s">
        <v>170</v>
      </c>
      <c r="C31" s="6">
        <v>32</v>
      </c>
      <c r="D31" s="6">
        <v>19</v>
      </c>
      <c r="E31" s="75">
        <v>8568.38</v>
      </c>
      <c r="F31" s="76">
        <v>2.0744</v>
      </c>
      <c r="G31" s="75">
        <v>267.76</v>
      </c>
      <c r="H31" s="76">
        <v>0.249</v>
      </c>
      <c r="I31" s="6">
        <v>0</v>
      </c>
      <c r="J31" s="6">
        <v>0</v>
      </c>
      <c r="K31" s="6">
        <v>0</v>
      </c>
      <c r="L31" s="77">
        <v>0</v>
      </c>
      <c r="M31" s="76" t="e">
        <v>#DIV/0!</v>
      </c>
      <c r="N31" s="75" t="e">
        <v>#DIV/0!</v>
      </c>
      <c r="O31" s="76" t="e">
        <v>#DIV/0!</v>
      </c>
      <c r="P31" s="78">
        <v>0</v>
      </c>
      <c r="Q31" s="3"/>
      <c r="R31" s="3"/>
      <c r="S31" s="3"/>
      <c r="T31" s="168">
        <v>32</v>
      </c>
      <c r="U31" s="75">
        <v>8568.38</v>
      </c>
      <c r="V31" s="93"/>
      <c r="W31" s="6"/>
      <c r="X31" s="3"/>
      <c r="Y31" s="3"/>
      <c r="Z31" s="3"/>
      <c r="AA31" s="3"/>
      <c r="AB31" s="3"/>
    </row>
    <row r="32" s="164" customFormat="1" ht="18" customHeight="1" spans="1:28">
      <c r="A32" s="62"/>
      <c r="B32" s="6" t="s">
        <v>172</v>
      </c>
      <c r="C32" s="6">
        <v>0</v>
      </c>
      <c r="D32" s="6">
        <v>0</v>
      </c>
      <c r="E32" s="75">
        <v>0</v>
      </c>
      <c r="F32" s="76" t="e">
        <v>#DIV/0!</v>
      </c>
      <c r="G32" s="75" t="e">
        <v>#DIV/0!</v>
      </c>
      <c r="H32" s="76" t="e">
        <v>#DIV/0!</v>
      </c>
      <c r="I32" s="6">
        <v>0</v>
      </c>
      <c r="J32" s="6">
        <v>74</v>
      </c>
      <c r="K32" s="6">
        <v>-2</v>
      </c>
      <c r="L32" s="77">
        <v>14572</v>
      </c>
      <c r="M32" s="76">
        <v>-0.1233</v>
      </c>
      <c r="N32" s="75">
        <v>196.92</v>
      </c>
      <c r="O32" s="76">
        <v>-0.0996</v>
      </c>
      <c r="P32" s="78">
        <v>14220.59</v>
      </c>
      <c r="Q32" s="3"/>
      <c r="R32" s="3"/>
      <c r="S32" s="3"/>
      <c r="T32" s="168">
        <v>74</v>
      </c>
      <c r="U32" s="75">
        <v>28792.59</v>
      </c>
      <c r="V32" s="93"/>
      <c r="W32" s="6"/>
      <c r="X32" s="3"/>
      <c r="Y32" s="3"/>
      <c r="Z32" s="3"/>
      <c r="AA32" s="3"/>
      <c r="AB32" s="3"/>
    </row>
    <row r="33" s="164" customFormat="1" ht="18" customHeight="1" spans="1:30">
      <c r="A33" s="62"/>
      <c r="B33" s="6" t="s">
        <v>174</v>
      </c>
      <c r="C33" s="6">
        <v>0</v>
      </c>
      <c r="D33" s="6">
        <v>0</v>
      </c>
      <c r="E33" s="75">
        <v>0</v>
      </c>
      <c r="F33" s="76" t="e">
        <v>#DIV/0!</v>
      </c>
      <c r="G33" s="75" t="e">
        <v>#DIV/0!</v>
      </c>
      <c r="H33" s="76" t="e">
        <v>#DIV/0!</v>
      </c>
      <c r="I33" s="6">
        <v>0</v>
      </c>
      <c r="J33" s="6">
        <v>0</v>
      </c>
      <c r="K33" s="6">
        <v>0</v>
      </c>
      <c r="L33" s="77">
        <v>0</v>
      </c>
      <c r="M33" s="76" t="e">
        <v>#DIV/0!</v>
      </c>
      <c r="N33" s="75" t="e">
        <v>#DIV/0!</v>
      </c>
      <c r="O33" s="76" t="e">
        <v>#DIV/0!</v>
      </c>
      <c r="P33" s="78">
        <v>0</v>
      </c>
      <c r="Q33" s="3"/>
      <c r="R33" s="3"/>
      <c r="S33" s="3"/>
      <c r="T33" s="168">
        <v>0</v>
      </c>
      <c r="U33" s="75">
        <v>0</v>
      </c>
      <c r="V33" s="93"/>
      <c r="W33" s="6"/>
      <c r="X33" s="3"/>
      <c r="Y33" s="3"/>
      <c r="Z33" s="3"/>
      <c r="AA33" s="3"/>
      <c r="AB33" s="3"/>
    </row>
    <row r="34" s="164" customFormat="1" ht="18" customHeight="1" spans="1:30">
      <c r="A34" s="62"/>
      <c r="B34" s="6" t="s">
        <v>167</v>
      </c>
      <c r="C34" s="6">
        <v>66</v>
      </c>
      <c r="D34" s="6">
        <v>-14</v>
      </c>
      <c r="E34" s="75">
        <v>20075.16</v>
      </c>
      <c r="F34" s="76">
        <v>-0.2775</v>
      </c>
      <c r="G34" s="75">
        <v>304.17</v>
      </c>
      <c r="H34" s="76">
        <v>-0.1242</v>
      </c>
      <c r="I34" s="6">
        <v>3910.1068</v>
      </c>
      <c r="J34" s="6">
        <v>0</v>
      </c>
      <c r="K34" s="6">
        <v>0</v>
      </c>
      <c r="L34" s="77">
        <v>0</v>
      </c>
      <c r="M34" s="76" t="e">
        <v>#DIV/0!</v>
      </c>
      <c r="N34" s="75" t="e">
        <v>#DIV/0!</v>
      </c>
      <c r="O34" s="76" t="e">
        <v>#DIV/0!</v>
      </c>
      <c r="P34" s="78">
        <v>0</v>
      </c>
      <c r="Q34" s="3"/>
      <c r="R34" s="3"/>
      <c r="S34" s="3"/>
      <c r="T34" s="168">
        <v>66</v>
      </c>
      <c r="U34" s="75">
        <v>23985.27</v>
      </c>
      <c r="V34" s="93"/>
      <c r="W34" s="6"/>
      <c r="X34" s="3"/>
      <c r="Y34" s="3"/>
      <c r="Z34" s="3"/>
      <c r="AA34" s="3"/>
      <c r="AB34" s="3"/>
    </row>
    <row r="35" s="164" customFormat="1" ht="18" customHeight="1" spans="1:30">
      <c r="A35" s="63"/>
      <c r="B35" s="12" t="s">
        <v>207</v>
      </c>
      <c r="C35" s="12">
        <v>8918</v>
      </c>
      <c r="D35" s="12">
        <v>-312</v>
      </c>
      <c r="E35" s="54">
        <v>2287411.11</v>
      </c>
      <c r="F35" s="86">
        <v>0.0099</v>
      </c>
      <c r="G35" s="85">
        <v>256.49</v>
      </c>
      <c r="H35" s="86">
        <v>0.0452</v>
      </c>
      <c r="I35" s="12">
        <v>401685.5584</v>
      </c>
      <c r="J35" s="12">
        <v>459</v>
      </c>
      <c r="K35" s="12">
        <v>-64</v>
      </c>
      <c r="L35" s="87">
        <v>97369</v>
      </c>
      <c r="M35" s="86">
        <v>-0.1012</v>
      </c>
      <c r="N35" s="85">
        <v>212.13</v>
      </c>
      <c r="O35" s="86">
        <v>0.0241</v>
      </c>
      <c r="P35" s="88">
        <v>35987.19</v>
      </c>
      <c r="Q35" s="59">
        <v>0</v>
      </c>
      <c r="R35" s="59">
        <v>0</v>
      </c>
      <c r="S35" s="59">
        <v>0</v>
      </c>
      <c r="T35" s="172">
        <v>9377</v>
      </c>
      <c r="U35" s="88">
        <v>2822452.86</v>
      </c>
      <c r="V35" s="95"/>
      <c r="W35" s="12"/>
      <c r="X35" s="53"/>
      <c r="Y35" s="53"/>
      <c r="Z35" s="53"/>
      <c r="AA35" s="53"/>
      <c r="AB35" s="53"/>
    </row>
    <row r="36" s="163" customFormat="1" ht="18" customHeight="1" spans="1:30">
      <c r="A36" s="52" t="s">
        <v>208</v>
      </c>
      <c r="B36" s="149"/>
      <c r="C36" s="8">
        <v>18081</v>
      </c>
      <c r="D36" s="8">
        <v>-52</v>
      </c>
      <c r="E36" s="80">
        <v>4441752.11</v>
      </c>
      <c r="F36" s="81">
        <v>0.0075</v>
      </c>
      <c r="G36" s="80">
        <v>245.66</v>
      </c>
      <c r="H36" s="81">
        <v>0.0104</v>
      </c>
      <c r="I36" s="8">
        <v>765055.636</v>
      </c>
      <c r="J36" s="8">
        <v>1466</v>
      </c>
      <c r="K36" s="8">
        <v>-506</v>
      </c>
      <c r="L36" s="82">
        <v>335560</v>
      </c>
      <c r="M36" s="81">
        <v>-0.0627</v>
      </c>
      <c r="N36" s="80">
        <v>228.89</v>
      </c>
      <c r="O36" s="81">
        <v>0.2608</v>
      </c>
      <c r="P36" s="83">
        <v>97428.28</v>
      </c>
      <c r="Q36" s="51">
        <v>1328445.15</v>
      </c>
      <c r="R36" s="51">
        <v>95091.52</v>
      </c>
      <c r="S36" s="51">
        <v>0</v>
      </c>
      <c r="T36" s="172">
        <v>19547</v>
      </c>
      <c r="U36" s="80">
        <v>7063332.69</v>
      </c>
      <c r="V36" s="177"/>
      <c r="W36" s="82"/>
      <c r="X36" s="9"/>
      <c r="Y36" s="9"/>
      <c r="Z36" s="50"/>
      <c r="AA36" s="9"/>
      <c r="AB36" s="9"/>
    </row>
    <row r="37" customFormat="1" ht="25.9" customHeight="1" spans="1:30">
      <c r="A37" s="1"/>
      <c r="C37" t="s">
        <v>209</v>
      </c>
      <c r="J37" t="s">
        <v>209</v>
      </c>
      <c r="O37" s="1" t="s">
        <v>210</v>
      </c>
      <c r="P37" s="1"/>
      <c r="Q37" s="1"/>
      <c r="R37" s="1"/>
      <c r="S37" s="1"/>
      <c r="T37" s="1"/>
      <c r="U37" s="67">
        <v>-626154.73</v>
      </c>
      <c r="V37" s="166">
        <v>-558</v>
      </c>
      <c r="W37">
        <v>-626154.73</v>
      </c>
      <c r="X37" s="1"/>
      <c r="Y37" s="1"/>
      <c r="Z37" s="1"/>
      <c r="AA37" s="1"/>
      <c r="AB37" s="1"/>
    </row>
    <row r="38" customFormat="1" ht="18" customHeight="1" spans="1:30">
      <c r="A38" s="3"/>
      <c r="B38" s="3"/>
      <c r="C38" s="178" t="s">
        <v>188</v>
      </c>
      <c r="D38" s="22" t="s">
        <v>189</v>
      </c>
      <c r="E38" s="179" t="s">
        <v>190</v>
      </c>
      <c r="F38" s="22" t="s">
        <v>189</v>
      </c>
      <c r="I38" s="166"/>
      <c r="J38" s="166"/>
      <c r="K38" s="166"/>
      <c r="Q38" s="1" t="s">
        <v>211</v>
      </c>
      <c r="R38" s="1"/>
      <c r="S38" s="1"/>
      <c r="U38" s="67">
        <v>6378639.27</v>
      </c>
      <c r="X38" s="1"/>
      <c r="Y38" s="1"/>
      <c r="Z38" s="1"/>
      <c r="AA38" s="1"/>
      <c r="AB38" s="1"/>
    </row>
    <row r="39" customFormat="1" ht="18" customHeight="1" spans="1:30">
      <c r="A39" s="3" t="s">
        <v>212</v>
      </c>
      <c r="B39" s="3"/>
      <c r="C39" s="6">
        <v>19547</v>
      </c>
      <c r="D39" s="180">
        <v>-0.03</v>
      </c>
      <c r="E39" s="77">
        <v>7063333</v>
      </c>
      <c r="F39" s="76">
        <v>-0.0814</v>
      </c>
      <c r="I39" s="166"/>
      <c r="J39" s="166"/>
      <c r="K39" s="166"/>
      <c r="M39">
        <v>56.1536297092288</v>
      </c>
      <c r="Q39" s="1"/>
      <c r="R39" s="1"/>
      <c r="S39" s="1"/>
      <c r="X39" s="1"/>
      <c r="Y39" s="1"/>
      <c r="Z39" s="1"/>
      <c r="AA39" s="1"/>
      <c r="AB39" s="1"/>
    </row>
    <row r="40" customFormat="1" ht="18" customHeight="1" spans="1:30">
      <c r="A40" s="3" t="s">
        <v>213</v>
      </c>
      <c r="B40" s="3"/>
      <c r="C40" s="76">
        <v>0.925</v>
      </c>
      <c r="D40" s="6"/>
      <c r="E40" s="76">
        <v>0.6288</v>
      </c>
      <c r="F40" s="6"/>
      <c r="G40" s="166"/>
      <c r="L40" s="166"/>
      <c r="M40" s="166"/>
      <c r="N40" s="166"/>
      <c r="Q40" s="1"/>
      <c r="R40" s="1"/>
      <c r="S40" s="1"/>
      <c r="T40" s="181"/>
      <c r="U40" s="181"/>
      <c r="V40" s="181"/>
      <c r="W40" s="181"/>
      <c r="X40" s="1"/>
      <c r="Y40" s="1"/>
      <c r="Z40" s="1"/>
      <c r="AA40" s="1"/>
      <c r="AB40" s="1"/>
    </row>
    <row r="41" customFormat="1" ht="18" customHeight="1" spans="1:30">
      <c r="A41" s="3" t="s">
        <v>214</v>
      </c>
      <c r="B41" s="3"/>
      <c r="C41" s="76">
        <v>0.075</v>
      </c>
      <c r="D41" s="6"/>
      <c r="E41" s="76">
        <v>0.0475</v>
      </c>
      <c r="F41" s="6"/>
      <c r="G41" s="166"/>
      <c r="L41" s="166"/>
      <c r="M41" s="166"/>
      <c r="N41" s="166"/>
      <c r="Q41" s="1"/>
      <c r="R41" s="1"/>
      <c r="S41" s="1"/>
      <c r="U41" s="166"/>
      <c r="V41" s="166"/>
      <c r="X41" s="1"/>
      <c r="Y41" s="1"/>
      <c r="Z41" s="1"/>
      <c r="AA41" s="1"/>
      <c r="AB41" s="1"/>
    </row>
    <row r="42" customFormat="1" ht="27" customHeight="1" spans="1:30">
      <c r="A42" s="182" t="s">
        <v>215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Q42" s="1"/>
      <c r="R42" s="1"/>
      <c r="S42" s="1"/>
      <c r="U42" s="166"/>
      <c r="V42" s="166"/>
      <c r="X42" s="1"/>
      <c r="Y42" s="1"/>
      <c r="Z42" s="1"/>
      <c r="AA42" s="1"/>
      <c r="AB42" s="1"/>
    </row>
    <row r="43" customFormat="1" ht="18" customHeight="1" spans="1:30">
      <c r="A43" s="32" t="s">
        <v>180</v>
      </c>
      <c r="B43" s="33"/>
      <c r="C43" s="22" t="s">
        <v>181</v>
      </c>
      <c r="D43" s="22"/>
      <c r="E43" s="22"/>
      <c r="F43" s="22"/>
      <c r="G43" s="22"/>
      <c r="H43" s="22"/>
      <c r="I43" s="22"/>
      <c r="J43" s="22" t="s">
        <v>182</v>
      </c>
      <c r="K43" s="22"/>
      <c r="L43" s="22"/>
      <c r="M43" s="22"/>
      <c r="N43" s="22"/>
      <c r="O43" s="22"/>
      <c r="P43" s="32" t="s">
        <v>183</v>
      </c>
      <c r="Q43" s="73"/>
      <c r="R43" s="73"/>
      <c r="S43" s="33"/>
      <c r="T43" s="22" t="s">
        <v>184</v>
      </c>
      <c r="U43" s="22"/>
      <c r="V43" s="22"/>
      <c r="W43" s="22"/>
      <c r="X43" s="73" t="s">
        <v>216</v>
      </c>
      <c r="Y43" s="183"/>
      <c r="Z43" s="183"/>
      <c r="AA43" s="183"/>
      <c r="AB43" s="146"/>
      <c r="AC43" s="184" t="s">
        <v>217</v>
      </c>
    </row>
    <row r="44" s="165" customFormat="1" ht="36" customHeight="1" spans="1:30">
      <c r="A44" s="74" t="s">
        <v>187</v>
      </c>
      <c r="B44" s="185"/>
      <c r="C44" s="167" t="s">
        <v>188</v>
      </c>
      <c r="D44" s="167" t="s">
        <v>189</v>
      </c>
      <c r="E44" s="186" t="s">
        <v>190</v>
      </c>
      <c r="F44" s="167" t="s">
        <v>189</v>
      </c>
      <c r="G44" s="186" t="s">
        <v>191</v>
      </c>
      <c r="H44" s="167" t="s">
        <v>189</v>
      </c>
      <c r="I44" s="167" t="s">
        <v>192</v>
      </c>
      <c r="J44" s="167" t="s">
        <v>188</v>
      </c>
      <c r="K44" s="167" t="s">
        <v>189</v>
      </c>
      <c r="L44" s="186" t="s">
        <v>190</v>
      </c>
      <c r="M44" s="186" t="s">
        <v>189</v>
      </c>
      <c r="N44" s="186" t="s">
        <v>191</v>
      </c>
      <c r="O44" s="167" t="s">
        <v>189</v>
      </c>
      <c r="P44" s="167" t="s">
        <v>193</v>
      </c>
      <c r="Q44" s="167" t="s">
        <v>194</v>
      </c>
      <c r="R44" s="167" t="s">
        <v>195</v>
      </c>
      <c r="S44" s="167" t="s">
        <v>196</v>
      </c>
      <c r="T44" s="187" t="s">
        <v>188</v>
      </c>
      <c r="U44" s="188" t="s">
        <v>190</v>
      </c>
      <c r="V44" s="188" t="s">
        <v>197</v>
      </c>
      <c r="W44" s="189" t="s">
        <v>218</v>
      </c>
      <c r="X44" s="167" t="s">
        <v>199</v>
      </c>
      <c r="Y44" s="190" t="s">
        <v>200</v>
      </c>
      <c r="Z44" s="167" t="s">
        <v>201</v>
      </c>
      <c r="AA44" s="167" t="s">
        <v>202</v>
      </c>
      <c r="AB44" s="167" t="s">
        <v>203</v>
      </c>
      <c r="AC44" s="191"/>
    </row>
    <row r="45" s="163" customFormat="1" ht="18" customHeight="1" spans="1:30">
      <c r="A45" s="7" t="s">
        <v>9</v>
      </c>
      <c r="B45" s="8" t="s">
        <v>10</v>
      </c>
      <c r="C45" s="8">
        <v>71</v>
      </c>
      <c r="D45" s="8">
        <v>17</v>
      </c>
      <c r="E45" s="80">
        <v>21111.08</v>
      </c>
      <c r="F45" s="81">
        <v>0.3762</v>
      </c>
      <c r="G45" s="82">
        <v>297</v>
      </c>
      <c r="H45" s="81">
        <v>0.0458</v>
      </c>
      <c r="I45" s="8">
        <v>0</v>
      </c>
      <c r="J45" s="8">
        <v>395</v>
      </c>
      <c r="K45" s="8">
        <v>-519</v>
      </c>
      <c r="L45" s="80">
        <v>48173.43</v>
      </c>
      <c r="M45" s="81">
        <v>-0.3629</v>
      </c>
      <c r="N45" s="82">
        <v>122</v>
      </c>
      <c r="O45" s="81">
        <v>0.4699</v>
      </c>
      <c r="P45" s="83">
        <v>2689.8</v>
      </c>
      <c r="Q45" s="53">
        <v>82306</v>
      </c>
      <c r="R45" s="53"/>
      <c r="S45" s="9">
        <v>0</v>
      </c>
      <c r="T45" s="168">
        <v>466</v>
      </c>
      <c r="U45" s="82">
        <v>154280</v>
      </c>
      <c r="V45" s="192">
        <v>13257</v>
      </c>
      <c r="W45" s="193">
        <v>7</v>
      </c>
      <c r="X45" s="194">
        <v>600</v>
      </c>
      <c r="Y45" s="195">
        <v>68</v>
      </c>
      <c r="Z45" s="148">
        <v>10800</v>
      </c>
      <c r="AA45" s="148">
        <v>7798</v>
      </c>
      <c r="AB45" s="148">
        <v>-3002</v>
      </c>
      <c r="AC45" s="196"/>
      <c r="AD45" s="171"/>
    </row>
    <row r="46" s="163" customFormat="1" ht="18" customHeight="1" spans="1:30">
      <c r="A46" s="7" t="s">
        <v>9</v>
      </c>
      <c r="B46" s="8" t="s">
        <v>11</v>
      </c>
      <c r="C46" s="8">
        <v>175</v>
      </c>
      <c r="D46" s="8">
        <v>-53</v>
      </c>
      <c r="E46" s="80">
        <v>20817.91</v>
      </c>
      <c r="F46" s="81">
        <v>-0.2619</v>
      </c>
      <c r="G46" s="82">
        <v>119</v>
      </c>
      <c r="H46" s="81">
        <v>-0.0403</v>
      </c>
      <c r="I46" s="8">
        <v>10905.0574</v>
      </c>
      <c r="J46" s="8">
        <v>27</v>
      </c>
      <c r="K46" s="8">
        <v>27</v>
      </c>
      <c r="L46" s="80">
        <v>2699.78</v>
      </c>
      <c r="M46" s="81" t="e">
        <v>#DIV/0!</v>
      </c>
      <c r="N46" s="82">
        <v>100</v>
      </c>
      <c r="O46" s="81" t="e">
        <v>#DIV/0!</v>
      </c>
      <c r="P46" s="83">
        <v>0</v>
      </c>
      <c r="Q46" s="9"/>
      <c r="R46" s="9"/>
      <c r="S46" s="9">
        <v>0</v>
      </c>
      <c r="T46" s="168">
        <v>202</v>
      </c>
      <c r="U46" s="82">
        <v>34423</v>
      </c>
      <c r="V46" s="197"/>
      <c r="W46" s="198"/>
      <c r="X46" s="64"/>
      <c r="Y46" s="199"/>
      <c r="Z46" s="148">
        <v>0</v>
      </c>
      <c r="AA46" s="148">
        <v>3379</v>
      </c>
      <c r="AB46" s="148">
        <v>3379</v>
      </c>
      <c r="AC46" s="196"/>
      <c r="AD46" s="171"/>
    </row>
    <row r="47" customFormat="1" ht="18" customHeight="1" spans="1:30">
      <c r="A47" s="3" t="s">
        <v>12</v>
      </c>
      <c r="B47" s="6" t="s">
        <v>13</v>
      </c>
      <c r="C47" s="6">
        <v>174</v>
      </c>
      <c r="D47" s="6">
        <v>-31</v>
      </c>
      <c r="E47" s="75">
        <v>69293.42</v>
      </c>
      <c r="F47" s="76">
        <v>-0.1575</v>
      </c>
      <c r="G47" s="77">
        <v>398</v>
      </c>
      <c r="H47" s="76">
        <v>-0.0075</v>
      </c>
      <c r="I47" s="6">
        <v>0</v>
      </c>
      <c r="J47" s="6">
        <v>1</v>
      </c>
      <c r="K47" s="6">
        <v>-3</v>
      </c>
      <c r="L47" s="75">
        <v>495.51</v>
      </c>
      <c r="M47" s="76">
        <v>-0.6626</v>
      </c>
      <c r="N47" s="77">
        <v>496</v>
      </c>
      <c r="O47" s="76">
        <v>0.3515</v>
      </c>
      <c r="P47" s="78">
        <v>0</v>
      </c>
      <c r="Q47" s="3"/>
      <c r="R47" s="3"/>
      <c r="S47" s="3">
        <v>0</v>
      </c>
      <c r="T47" s="168">
        <v>175</v>
      </c>
      <c r="U47" s="77">
        <v>69789</v>
      </c>
      <c r="V47" s="43">
        <v>17447</v>
      </c>
      <c r="W47" s="3">
        <v>4</v>
      </c>
      <c r="X47" s="146">
        <v>400</v>
      </c>
      <c r="Y47" s="200">
        <v>-225</v>
      </c>
      <c r="Z47" s="145">
        <v>7200</v>
      </c>
      <c r="AA47" s="148">
        <v>2476</v>
      </c>
      <c r="AB47" s="145">
        <v>-4724</v>
      </c>
      <c r="AC47" s="201"/>
      <c r="AD47" s="104"/>
    </row>
    <row r="48" customFormat="1" ht="18" customHeight="1" spans="1:30">
      <c r="A48" s="3" t="s">
        <v>14</v>
      </c>
      <c r="B48" s="6" t="s">
        <v>15</v>
      </c>
      <c r="C48" s="6">
        <v>241</v>
      </c>
      <c r="D48" s="6">
        <v>56</v>
      </c>
      <c r="E48" s="75">
        <v>98230.14</v>
      </c>
      <c r="F48" s="76">
        <v>0.4619</v>
      </c>
      <c r="G48" s="77">
        <v>408</v>
      </c>
      <c r="H48" s="76">
        <v>0.124</v>
      </c>
      <c r="I48" s="6">
        <v>0</v>
      </c>
      <c r="J48" s="6">
        <v>255</v>
      </c>
      <c r="K48" s="6">
        <v>-20</v>
      </c>
      <c r="L48" s="75">
        <v>52209.06</v>
      </c>
      <c r="M48" s="76">
        <v>-0.0104</v>
      </c>
      <c r="N48" s="77">
        <v>205</v>
      </c>
      <c r="O48" s="76">
        <v>0.0677</v>
      </c>
      <c r="P48" s="78">
        <v>0</v>
      </c>
      <c r="Q48" s="53">
        <v>114325.05</v>
      </c>
      <c r="R48" s="53"/>
      <c r="S48" s="3">
        <v>0</v>
      </c>
      <c r="T48" s="168">
        <v>496</v>
      </c>
      <c r="U48" s="77">
        <v>264764</v>
      </c>
      <c r="V48" s="43">
        <v>21491</v>
      </c>
      <c r="W48" s="3">
        <v>7</v>
      </c>
      <c r="X48" s="146">
        <v>400</v>
      </c>
      <c r="Y48" s="200">
        <v>96</v>
      </c>
      <c r="Z48" s="145">
        <v>7200</v>
      </c>
      <c r="AA48" s="148">
        <v>6712</v>
      </c>
      <c r="AB48" s="145">
        <v>-488</v>
      </c>
      <c r="AC48" s="201"/>
      <c r="AD48" s="104"/>
    </row>
    <row r="49" customFormat="1" ht="18" customHeight="1" spans="1:30">
      <c r="A49" s="3" t="s">
        <v>12</v>
      </c>
      <c r="B49" s="6" t="s">
        <v>16</v>
      </c>
      <c r="C49" s="6">
        <v>0</v>
      </c>
      <c r="D49" s="6">
        <v>0</v>
      </c>
      <c r="E49" s="75">
        <v>0</v>
      </c>
      <c r="F49" s="76" t="e">
        <v>#DIV/0!</v>
      </c>
      <c r="G49" s="77" t="e">
        <v>#DIV/0!</v>
      </c>
      <c r="H49" s="76" t="e">
        <v>#DIV/0!</v>
      </c>
      <c r="I49" s="6">
        <v>0</v>
      </c>
      <c r="J49" s="6">
        <v>0</v>
      </c>
      <c r="K49" s="6">
        <v>0</v>
      </c>
      <c r="L49" s="75">
        <v>0</v>
      </c>
      <c r="M49" s="76" t="e">
        <v>#DIV/0!</v>
      </c>
      <c r="N49" s="77" t="e">
        <v>#DIV/0!</v>
      </c>
      <c r="O49" s="76" t="e">
        <v>#DIV/0!</v>
      </c>
      <c r="P49" s="78">
        <v>0</v>
      </c>
      <c r="Q49" s="3"/>
      <c r="R49" s="3"/>
      <c r="S49" s="3">
        <v>0</v>
      </c>
      <c r="T49" s="168">
        <v>0</v>
      </c>
      <c r="U49" s="77">
        <v>0</v>
      </c>
      <c r="V49" s="43" t="e">
        <v>#DIV/0!</v>
      </c>
      <c r="W49" s="3">
        <v>0</v>
      </c>
      <c r="X49" s="150">
        <v>500</v>
      </c>
      <c r="Y49" s="195">
        <v>-48</v>
      </c>
      <c r="Z49" s="210">
        <v>9000</v>
      </c>
      <c r="AA49" s="210">
        <v>7098</v>
      </c>
      <c r="AB49" s="210">
        <v>-1902</v>
      </c>
      <c r="AC49" s="201"/>
      <c r="AD49" s="104"/>
    </row>
    <row r="50" customFormat="1" ht="18" customHeight="1" spans="1:30">
      <c r="A50" s="3" t="s">
        <v>12</v>
      </c>
      <c r="B50" s="6" t="s">
        <v>17</v>
      </c>
      <c r="C50" s="6">
        <v>322</v>
      </c>
      <c r="D50" s="6">
        <v>135</v>
      </c>
      <c r="E50" s="75">
        <v>113858.98</v>
      </c>
      <c r="F50" s="76">
        <v>0.6991</v>
      </c>
      <c r="G50" s="77">
        <v>354</v>
      </c>
      <c r="H50" s="76">
        <v>-0.0112</v>
      </c>
      <c r="I50" s="6">
        <v>0</v>
      </c>
      <c r="J50" s="6">
        <v>130</v>
      </c>
      <c r="K50" s="6">
        <v>-33</v>
      </c>
      <c r="L50" s="75">
        <v>46208.1</v>
      </c>
      <c r="M50" s="76">
        <v>-0.191</v>
      </c>
      <c r="N50" s="77">
        <v>355</v>
      </c>
      <c r="O50" s="76">
        <v>0.0143</v>
      </c>
      <c r="P50" s="78">
        <v>0</v>
      </c>
      <c r="Q50" s="53">
        <v>16613</v>
      </c>
      <c r="R50" s="53">
        <v>1458</v>
      </c>
      <c r="S50" s="3">
        <v>0</v>
      </c>
      <c r="T50" s="168">
        <v>452</v>
      </c>
      <c r="U50" s="77">
        <v>178138</v>
      </c>
      <c r="V50" s="43">
        <v>16007</v>
      </c>
      <c r="W50" s="3">
        <v>10</v>
      </c>
      <c r="X50" s="211"/>
      <c r="Y50" s="212"/>
      <c r="Z50" s="213"/>
      <c r="AA50" s="213"/>
      <c r="AB50" s="213"/>
      <c r="AC50" s="201"/>
      <c r="AD50" s="104"/>
    </row>
    <row r="51" customFormat="1" ht="18" customHeight="1" spans="1:30">
      <c r="A51" s="3" t="s">
        <v>12</v>
      </c>
      <c r="B51" s="6" t="s">
        <v>18</v>
      </c>
      <c r="C51" s="6">
        <v>0</v>
      </c>
      <c r="D51" s="6">
        <v>0</v>
      </c>
      <c r="E51" s="75">
        <v>0</v>
      </c>
      <c r="F51" s="76" t="e">
        <v>#DIV/0!</v>
      </c>
      <c r="G51" s="77" t="e">
        <v>#DIV/0!</v>
      </c>
      <c r="H51" s="76" t="e">
        <v>#DIV/0!</v>
      </c>
      <c r="I51" s="6">
        <v>0</v>
      </c>
      <c r="J51" s="6">
        <v>0</v>
      </c>
      <c r="K51" s="6">
        <v>0</v>
      </c>
      <c r="L51" s="75">
        <v>0</v>
      </c>
      <c r="M51" s="76" t="e">
        <v>#DIV/0!</v>
      </c>
      <c r="N51" s="77" t="e">
        <v>#DIV/0!</v>
      </c>
      <c r="O51" s="76" t="e">
        <v>#DIV/0!</v>
      </c>
      <c r="P51" s="78">
        <v>0</v>
      </c>
      <c r="Q51" s="3"/>
      <c r="R51" s="3"/>
      <c r="S51" s="3">
        <v>0</v>
      </c>
      <c r="T51" s="168">
        <v>0</v>
      </c>
      <c r="U51" s="77">
        <v>0</v>
      </c>
      <c r="V51" s="43" t="e">
        <v>#DIV/0!</v>
      </c>
      <c r="W51" s="3">
        <v>0</v>
      </c>
      <c r="X51" s="214"/>
      <c r="Y51" s="199"/>
      <c r="Z51" s="215"/>
      <c r="AA51" s="215"/>
      <c r="AB51" s="215"/>
      <c r="AC51" s="4"/>
      <c r="AD51" s="104"/>
    </row>
    <row r="52" s="163" customFormat="1" ht="18" customHeight="1" spans="1:30">
      <c r="A52" s="9" t="s">
        <v>19</v>
      </c>
      <c r="B52" s="8" t="s">
        <v>20</v>
      </c>
      <c r="C52" s="8">
        <v>1258</v>
      </c>
      <c r="D52" s="8">
        <v>-75</v>
      </c>
      <c r="E52" s="80">
        <v>157695.71</v>
      </c>
      <c r="F52" s="81">
        <v>-0.1868</v>
      </c>
      <c r="G52" s="82">
        <v>125</v>
      </c>
      <c r="H52" s="81">
        <v>-0.1379</v>
      </c>
      <c r="I52" s="8">
        <v>85567.3976</v>
      </c>
      <c r="J52" s="8">
        <v>0</v>
      </c>
      <c r="K52" s="8">
        <v>-1</v>
      </c>
      <c r="L52" s="80">
        <v>0</v>
      </c>
      <c r="M52" s="81">
        <v>-1</v>
      </c>
      <c r="N52" s="82" t="e">
        <v>#DIV/0!</v>
      </c>
      <c r="O52" s="81" t="e">
        <v>#DIV/0!</v>
      </c>
      <c r="P52" s="83">
        <v>0</v>
      </c>
      <c r="Q52" s="9"/>
      <c r="R52" s="9"/>
      <c r="S52" s="9">
        <v>0</v>
      </c>
      <c r="T52" s="168">
        <v>1258</v>
      </c>
      <c r="U52" s="82">
        <v>243263</v>
      </c>
      <c r="V52" s="192">
        <v>16150</v>
      </c>
      <c r="W52" s="193">
        <v>10</v>
      </c>
      <c r="X52" s="194">
        <v>1100</v>
      </c>
      <c r="Y52" s="195">
        <v>158</v>
      </c>
      <c r="Z52" s="216">
        <v>19800</v>
      </c>
      <c r="AA52" s="216">
        <v>21420</v>
      </c>
      <c r="AB52" s="216">
        <v>1620</v>
      </c>
      <c r="AC52" s="217"/>
      <c r="AD52" s="171"/>
    </row>
    <row r="53" s="163" customFormat="1" ht="18" customHeight="1" spans="1:30">
      <c r="A53" s="9" t="s">
        <v>19</v>
      </c>
      <c r="B53" s="8" t="s">
        <v>21</v>
      </c>
      <c r="C53" s="8">
        <v>0</v>
      </c>
      <c r="D53" s="8">
        <v>0</v>
      </c>
      <c r="E53" s="80">
        <v>0</v>
      </c>
      <c r="F53" s="81" t="e">
        <v>#DIV/0!</v>
      </c>
      <c r="G53" s="82" t="e">
        <v>#DIV/0!</v>
      </c>
      <c r="H53" s="81" t="e">
        <v>#DIV/0!</v>
      </c>
      <c r="I53" s="8">
        <v>0</v>
      </c>
      <c r="J53" s="8">
        <v>0</v>
      </c>
      <c r="K53" s="8">
        <v>0</v>
      </c>
      <c r="L53" s="80">
        <v>0</v>
      </c>
      <c r="M53" s="81" t="e">
        <v>#DIV/0!</v>
      </c>
      <c r="N53" s="82" t="e">
        <v>#DIV/0!</v>
      </c>
      <c r="O53" s="81" t="e">
        <v>#DIV/0!</v>
      </c>
      <c r="P53" s="83">
        <v>0</v>
      </c>
      <c r="Q53" s="9"/>
      <c r="R53" s="9"/>
      <c r="S53" s="9">
        <v>0</v>
      </c>
      <c r="T53" s="168">
        <v>0</v>
      </c>
      <c r="U53" s="82">
        <v>0</v>
      </c>
      <c r="V53" s="218"/>
      <c r="W53" s="219"/>
      <c r="X53" s="220"/>
      <c r="Y53" s="212"/>
      <c r="Z53" s="221"/>
      <c r="AA53" s="221"/>
      <c r="AB53" s="221"/>
      <c r="AC53" s="217" t="s">
        <v>219</v>
      </c>
      <c r="AD53" s="171"/>
    </row>
    <row r="54" s="163" customFormat="1" ht="18" customHeight="1" spans="1:30">
      <c r="A54" s="9" t="s">
        <v>19</v>
      </c>
      <c r="B54" s="8" t="s">
        <v>22</v>
      </c>
      <c r="C54" s="8">
        <v>12</v>
      </c>
      <c r="D54" s="8">
        <v>-46</v>
      </c>
      <c r="E54" s="80">
        <v>3804.46</v>
      </c>
      <c r="F54" s="81">
        <v>-0.798</v>
      </c>
      <c r="G54" s="82">
        <v>317</v>
      </c>
      <c r="H54" s="81">
        <v>-0.0246</v>
      </c>
      <c r="I54" s="8">
        <v>660.0408</v>
      </c>
      <c r="J54" s="8">
        <v>0</v>
      </c>
      <c r="K54" s="8">
        <v>0</v>
      </c>
      <c r="L54" s="80">
        <v>0</v>
      </c>
      <c r="M54" s="81" t="e">
        <v>#DIV/0!</v>
      </c>
      <c r="N54" s="82" t="e">
        <v>#DIV/0!</v>
      </c>
      <c r="O54" s="81" t="e">
        <v>#DIV/0!</v>
      </c>
      <c r="P54" s="83">
        <v>0</v>
      </c>
      <c r="Q54" s="9"/>
      <c r="R54" s="9"/>
      <c r="S54" s="9">
        <v>0</v>
      </c>
      <c r="T54" s="168">
        <v>12</v>
      </c>
      <c r="U54" s="82">
        <v>4465</v>
      </c>
      <c r="V54" s="197"/>
      <c r="W54" s="198"/>
      <c r="X54" s="64"/>
      <c r="Y54" s="199"/>
      <c r="Z54" s="222"/>
      <c r="AA54" s="222"/>
      <c r="AB54" s="222"/>
      <c r="AC54" s="217" t="s">
        <v>220</v>
      </c>
      <c r="AD54" s="171"/>
    </row>
    <row r="55" s="163" customFormat="1" ht="18" customHeight="1" spans="1:30">
      <c r="A55" s="9" t="s">
        <v>19</v>
      </c>
      <c r="B55" s="8" t="s">
        <v>23</v>
      </c>
      <c r="C55" s="8">
        <v>0</v>
      </c>
      <c r="D55" s="8">
        <v>0</v>
      </c>
      <c r="E55" s="80">
        <v>0</v>
      </c>
      <c r="F55" s="81" t="e">
        <v>#DIV/0!</v>
      </c>
      <c r="G55" s="82" t="e">
        <v>#DIV/0!</v>
      </c>
      <c r="H55" s="81" t="e">
        <v>#DIV/0!</v>
      </c>
      <c r="I55" s="8">
        <v>0</v>
      </c>
      <c r="J55" s="8">
        <v>0</v>
      </c>
      <c r="K55" s="8">
        <v>0</v>
      </c>
      <c r="L55" s="80">
        <v>0</v>
      </c>
      <c r="M55" s="81" t="e">
        <v>#DIV/0!</v>
      </c>
      <c r="N55" s="82" t="e">
        <v>#DIV/0!</v>
      </c>
      <c r="O55" s="81" t="e">
        <v>#DIV/0!</v>
      </c>
      <c r="P55" s="83">
        <v>0</v>
      </c>
      <c r="Q55" s="9"/>
      <c r="R55" s="9"/>
      <c r="S55" s="9">
        <v>0</v>
      </c>
      <c r="T55" s="168">
        <v>0</v>
      </c>
      <c r="U55" s="82">
        <v>0</v>
      </c>
      <c r="V55" s="192">
        <v>28581</v>
      </c>
      <c r="W55" s="193">
        <v>5</v>
      </c>
      <c r="X55" s="149">
        <v>500</v>
      </c>
      <c r="Y55" s="195">
        <v>49</v>
      </c>
      <c r="Z55" s="216">
        <v>9000</v>
      </c>
      <c r="AA55" s="216">
        <v>8787</v>
      </c>
      <c r="AB55" s="216">
        <v>-213</v>
      </c>
      <c r="AC55" s="217"/>
      <c r="AD55" s="171"/>
    </row>
    <row r="56" s="163" customFormat="1" ht="18" customHeight="1" spans="1:30">
      <c r="A56" s="9" t="s">
        <v>19</v>
      </c>
      <c r="B56" s="8" t="s">
        <v>24</v>
      </c>
      <c r="C56" s="8">
        <v>215</v>
      </c>
      <c r="D56" s="8">
        <v>8</v>
      </c>
      <c r="E56" s="80">
        <v>44317.3</v>
      </c>
      <c r="F56" s="81">
        <v>0.0184</v>
      </c>
      <c r="G56" s="82">
        <v>206</v>
      </c>
      <c r="H56" s="81">
        <v>-0.019</v>
      </c>
      <c r="I56" s="8">
        <v>15983.9838</v>
      </c>
      <c r="J56" s="8">
        <v>79</v>
      </c>
      <c r="K56" s="8">
        <v>-17</v>
      </c>
      <c r="L56" s="80">
        <v>23298.01</v>
      </c>
      <c r="M56" s="81">
        <v>0.0907</v>
      </c>
      <c r="N56" s="82">
        <v>295</v>
      </c>
      <c r="O56" s="81">
        <v>0.3229</v>
      </c>
      <c r="P56" s="83">
        <v>0</v>
      </c>
      <c r="Q56" s="9"/>
      <c r="R56" s="9">
        <v>1050</v>
      </c>
      <c r="S56" s="9">
        <v>0</v>
      </c>
      <c r="T56" s="168">
        <v>294</v>
      </c>
      <c r="U56" s="82">
        <v>84649</v>
      </c>
      <c r="V56" s="218"/>
      <c r="W56" s="219"/>
      <c r="X56" s="149"/>
      <c r="Y56" s="212"/>
      <c r="Z56" s="221"/>
      <c r="AA56" s="221"/>
      <c r="AB56" s="221"/>
      <c r="AC56" s="217"/>
      <c r="AD56" s="171"/>
    </row>
    <row r="57" s="163" customFormat="1" ht="18" customHeight="1" spans="1:30">
      <c r="A57" s="9" t="s">
        <v>19</v>
      </c>
      <c r="B57" s="8" t="s">
        <v>25</v>
      </c>
      <c r="C57" s="8">
        <v>196</v>
      </c>
      <c r="D57" s="8">
        <v>-91</v>
      </c>
      <c r="E57" s="80">
        <v>57180.24</v>
      </c>
      <c r="F57" s="81">
        <v>-0.2881</v>
      </c>
      <c r="G57" s="82">
        <v>292</v>
      </c>
      <c r="H57" s="81">
        <v>0.0429</v>
      </c>
      <c r="I57" s="8">
        <v>14439.1292</v>
      </c>
      <c r="J57" s="8">
        <v>59</v>
      </c>
      <c r="K57" s="8">
        <v>-8</v>
      </c>
      <c r="L57" s="80">
        <v>18108.46</v>
      </c>
      <c r="M57" s="81">
        <v>0.0316</v>
      </c>
      <c r="N57" s="82">
        <v>307</v>
      </c>
      <c r="O57" s="81">
        <v>0.1718</v>
      </c>
      <c r="P57" s="83">
        <v>6218.94</v>
      </c>
      <c r="Q57" s="202"/>
      <c r="R57" s="9"/>
      <c r="S57" s="9">
        <v>0</v>
      </c>
      <c r="T57" s="168">
        <v>255</v>
      </c>
      <c r="U57" s="82">
        <v>95947</v>
      </c>
      <c r="V57" s="197"/>
      <c r="W57" s="198"/>
      <c r="X57" s="149"/>
      <c r="Y57" s="199"/>
      <c r="Z57" s="222"/>
      <c r="AA57" s="222"/>
      <c r="AB57" s="222"/>
      <c r="AC57" s="217"/>
      <c r="AD57" s="171"/>
    </row>
    <row r="58" s="163" customFormat="1" ht="18" customHeight="1" spans="1:30">
      <c r="A58" s="9" t="s">
        <v>19</v>
      </c>
      <c r="B58" s="8" t="s">
        <v>26</v>
      </c>
      <c r="C58" s="8">
        <v>467</v>
      </c>
      <c r="D58" s="8">
        <v>-63</v>
      </c>
      <c r="E58" s="80">
        <v>61263.38</v>
      </c>
      <c r="F58" s="81">
        <v>0.1283</v>
      </c>
      <c r="G58" s="82">
        <v>131</v>
      </c>
      <c r="H58" s="81">
        <v>0.2843</v>
      </c>
      <c r="I58" s="8">
        <v>29684.9078</v>
      </c>
      <c r="J58" s="8">
        <v>8</v>
      </c>
      <c r="K58" s="8">
        <v>-25</v>
      </c>
      <c r="L58" s="80">
        <v>1081.01</v>
      </c>
      <c r="M58" s="81">
        <v>-0.7794</v>
      </c>
      <c r="N58" s="82">
        <v>135</v>
      </c>
      <c r="O58" s="81">
        <v>-0.094</v>
      </c>
      <c r="P58" s="83">
        <v>0</v>
      </c>
      <c r="Q58" s="9"/>
      <c r="R58" s="9"/>
      <c r="S58" s="9">
        <v>0</v>
      </c>
      <c r="T58" s="168">
        <v>475</v>
      </c>
      <c r="U58" s="82">
        <v>92029</v>
      </c>
      <c r="V58" s="192">
        <v>16708</v>
      </c>
      <c r="W58" s="193">
        <v>4</v>
      </c>
      <c r="X58" s="194">
        <v>400</v>
      </c>
      <c r="Y58" s="195">
        <v>75</v>
      </c>
      <c r="Z58" s="216">
        <v>7200</v>
      </c>
      <c r="AA58" s="216">
        <v>9507</v>
      </c>
      <c r="AB58" s="216">
        <v>2307</v>
      </c>
      <c r="AC58" s="217"/>
      <c r="AD58" s="171"/>
    </row>
    <row r="59" s="163" customFormat="1" ht="18" customHeight="1" spans="1:30">
      <c r="A59" s="9" t="s">
        <v>19</v>
      </c>
      <c r="B59" s="8" t="s">
        <v>27</v>
      </c>
      <c r="C59" s="8">
        <v>0</v>
      </c>
      <c r="D59" s="8">
        <v>0</v>
      </c>
      <c r="E59" s="80">
        <v>0</v>
      </c>
      <c r="F59" s="81" t="e">
        <v>#DIV/0!</v>
      </c>
      <c r="G59" s="82" t="e">
        <v>#DIV/0!</v>
      </c>
      <c r="H59" s="81" t="e">
        <v>#DIV/0!</v>
      </c>
      <c r="I59" s="8">
        <v>0</v>
      </c>
      <c r="J59" s="8">
        <v>0</v>
      </c>
      <c r="K59" s="8">
        <v>0</v>
      </c>
      <c r="L59" s="80">
        <v>0</v>
      </c>
      <c r="M59" s="81" t="e">
        <v>#DIV/0!</v>
      </c>
      <c r="N59" s="82" t="e">
        <v>#DIV/0!</v>
      </c>
      <c r="O59" s="81" t="e">
        <v>#DIV/0!</v>
      </c>
      <c r="P59" s="83">
        <v>0</v>
      </c>
      <c r="Q59" s="9"/>
      <c r="R59" s="9"/>
      <c r="S59" s="9">
        <v>0</v>
      </c>
      <c r="T59" s="168">
        <v>0</v>
      </c>
      <c r="U59" s="82">
        <v>0</v>
      </c>
      <c r="V59" s="218"/>
      <c r="W59" s="219"/>
      <c r="X59" s="220"/>
      <c r="Y59" s="212"/>
      <c r="Z59" s="221"/>
      <c r="AA59" s="221"/>
      <c r="AB59" s="221"/>
      <c r="AC59" s="217"/>
      <c r="AD59" s="171"/>
    </row>
    <row r="60" s="163" customFormat="1" ht="18" customHeight="1" spans="1:30">
      <c r="A60" s="9" t="s">
        <v>19</v>
      </c>
      <c r="B60" s="8" t="s">
        <v>28</v>
      </c>
      <c r="C60" s="8">
        <v>80</v>
      </c>
      <c r="D60" s="8">
        <v>-16</v>
      </c>
      <c r="E60" s="80">
        <v>4486.39</v>
      </c>
      <c r="F60" s="81">
        <v>-0.1656</v>
      </c>
      <c r="G60" s="82">
        <v>56</v>
      </c>
      <c r="H60" s="81">
        <v>0</v>
      </c>
      <c r="I60" s="8">
        <v>5319.8856</v>
      </c>
      <c r="J60" s="8">
        <v>0</v>
      </c>
      <c r="K60" s="8">
        <v>0</v>
      </c>
      <c r="L60" s="80">
        <v>0</v>
      </c>
      <c r="M60" s="81" t="e">
        <v>#DIV/0!</v>
      </c>
      <c r="N60" s="82" t="e">
        <v>#DIV/0!</v>
      </c>
      <c r="O60" s="81" t="e">
        <v>#DIV/0!</v>
      </c>
      <c r="P60" s="83">
        <v>0</v>
      </c>
      <c r="Q60" s="9"/>
      <c r="R60" s="9"/>
      <c r="S60" s="9">
        <v>0</v>
      </c>
      <c r="T60" s="168">
        <v>80</v>
      </c>
      <c r="U60" s="82">
        <v>9806</v>
      </c>
      <c r="V60" s="197"/>
      <c r="W60" s="198"/>
      <c r="X60" s="64"/>
      <c r="Y60" s="199"/>
      <c r="Z60" s="222"/>
      <c r="AA60" s="222"/>
      <c r="AB60" s="222"/>
      <c r="AC60" s="217"/>
      <c r="AD60" s="171"/>
    </row>
    <row r="61" s="163" customFormat="1" ht="18" customHeight="1" spans="1:30">
      <c r="A61" s="9" t="s">
        <v>19</v>
      </c>
      <c r="B61" s="8" t="s">
        <v>29</v>
      </c>
      <c r="C61" s="8">
        <v>621</v>
      </c>
      <c r="D61" s="8">
        <v>186</v>
      </c>
      <c r="E61" s="80">
        <v>102302.55</v>
      </c>
      <c r="F61" s="81">
        <v>0.1835</v>
      </c>
      <c r="G61" s="82">
        <v>165</v>
      </c>
      <c r="H61" s="81">
        <v>-0.1709</v>
      </c>
      <c r="I61" s="8">
        <v>36216.2462</v>
      </c>
      <c r="J61" s="8">
        <v>2</v>
      </c>
      <c r="K61" s="8">
        <v>-3</v>
      </c>
      <c r="L61" s="80">
        <v>355.9</v>
      </c>
      <c r="M61" s="81">
        <v>-0.7091</v>
      </c>
      <c r="N61" s="82">
        <v>178</v>
      </c>
      <c r="O61" s="81">
        <v>-0.2735</v>
      </c>
      <c r="P61" s="83">
        <v>0</v>
      </c>
      <c r="Q61" s="202"/>
      <c r="R61" s="9">
        <v>8490</v>
      </c>
      <c r="S61" s="9">
        <v>0</v>
      </c>
      <c r="T61" s="168">
        <v>623</v>
      </c>
      <c r="U61" s="82">
        <v>147365</v>
      </c>
      <c r="V61" s="50">
        <v>20532</v>
      </c>
      <c r="W61" s="9">
        <v>5</v>
      </c>
      <c r="X61" s="149">
        <v>500</v>
      </c>
      <c r="Y61" s="200">
        <v>123</v>
      </c>
      <c r="Z61" s="148">
        <v>9000</v>
      </c>
      <c r="AA61" s="148">
        <v>9492</v>
      </c>
      <c r="AB61" s="148">
        <v>492</v>
      </c>
      <c r="AC61" s="217"/>
      <c r="AD61" s="171"/>
    </row>
    <row r="62" customFormat="1" ht="18" customHeight="1" spans="1:30">
      <c r="A62" s="3" t="s">
        <v>30</v>
      </c>
      <c r="B62" s="6" t="s">
        <v>31</v>
      </c>
      <c r="C62" s="6">
        <v>392</v>
      </c>
      <c r="D62" s="6">
        <v>126</v>
      </c>
      <c r="E62" s="75">
        <v>85974.1</v>
      </c>
      <c r="F62" s="76">
        <v>0.5492</v>
      </c>
      <c r="G62" s="77">
        <v>219</v>
      </c>
      <c r="H62" s="76">
        <v>0.0478</v>
      </c>
      <c r="I62" s="6">
        <v>21601.316</v>
      </c>
      <c r="J62" s="6">
        <v>18</v>
      </c>
      <c r="K62" s="6">
        <v>18</v>
      </c>
      <c r="L62" s="75">
        <v>4726.33</v>
      </c>
      <c r="M62" s="76" t="e">
        <v>#DIV/0!</v>
      </c>
      <c r="N62" s="77">
        <v>263</v>
      </c>
      <c r="O62" s="76" t="e">
        <v>#DIV/0!</v>
      </c>
      <c r="P62" s="78">
        <v>0</v>
      </c>
      <c r="Q62" s="3"/>
      <c r="R62" s="3"/>
      <c r="S62" s="3">
        <v>0</v>
      </c>
      <c r="T62" s="168">
        <v>410</v>
      </c>
      <c r="U62" s="77">
        <v>112302</v>
      </c>
      <c r="V62" s="43">
        <v>15117</v>
      </c>
      <c r="W62" s="3">
        <v>6</v>
      </c>
      <c r="X62" s="146">
        <v>450</v>
      </c>
      <c r="Y62" s="200">
        <v>-40</v>
      </c>
      <c r="Z62" s="145">
        <v>8100</v>
      </c>
      <c r="AA62" s="145">
        <v>6180</v>
      </c>
      <c r="AB62" s="145">
        <v>-1920</v>
      </c>
      <c r="AC62" s="201"/>
      <c r="AD62" s="104"/>
    </row>
    <row r="63" customFormat="1" ht="18" customHeight="1" spans="1:30">
      <c r="A63" s="3" t="s">
        <v>30</v>
      </c>
      <c r="B63" s="6" t="s">
        <v>32</v>
      </c>
      <c r="C63" s="6">
        <v>129</v>
      </c>
      <c r="D63" s="6">
        <v>-61</v>
      </c>
      <c r="E63" s="75">
        <v>56839.64</v>
      </c>
      <c r="F63" s="76">
        <v>-0.2185</v>
      </c>
      <c r="G63" s="77">
        <v>441</v>
      </c>
      <c r="H63" s="76">
        <v>0.1514</v>
      </c>
      <c r="I63" s="6">
        <v>7095.4386</v>
      </c>
      <c r="J63" s="6">
        <v>104</v>
      </c>
      <c r="K63" s="6">
        <v>32</v>
      </c>
      <c r="L63" s="75">
        <v>38501.51</v>
      </c>
      <c r="M63" s="76">
        <v>-0.0325</v>
      </c>
      <c r="N63" s="77">
        <v>370</v>
      </c>
      <c r="O63" s="76">
        <v>-0.3309</v>
      </c>
      <c r="P63" s="78">
        <v>0</v>
      </c>
      <c r="Q63" s="3"/>
      <c r="R63" s="3"/>
      <c r="S63" s="3">
        <v>0</v>
      </c>
      <c r="T63" s="168">
        <v>233</v>
      </c>
      <c r="U63" s="77">
        <v>102437</v>
      </c>
      <c r="V63" s="43">
        <v>11918</v>
      </c>
      <c r="W63" s="3">
        <v>8</v>
      </c>
      <c r="X63" s="146">
        <v>300</v>
      </c>
      <c r="Y63" s="200">
        <v>-67</v>
      </c>
      <c r="Z63" s="145">
        <v>5400</v>
      </c>
      <c r="AA63" s="145">
        <v>2113</v>
      </c>
      <c r="AB63" s="145">
        <v>-3287</v>
      </c>
      <c r="AC63" s="201"/>
      <c r="AD63" s="104"/>
    </row>
    <row r="64" customFormat="1" ht="18" customHeight="1" spans="1:30">
      <c r="A64" s="3" t="s">
        <v>30</v>
      </c>
      <c r="B64" s="6" t="s">
        <v>33</v>
      </c>
      <c r="C64" s="6">
        <v>44</v>
      </c>
      <c r="D64" s="6">
        <v>-24</v>
      </c>
      <c r="E64" s="75">
        <v>10322.75</v>
      </c>
      <c r="F64" s="76">
        <v>-0.4072</v>
      </c>
      <c r="G64" s="77">
        <v>235</v>
      </c>
      <c r="H64" s="76">
        <v>-0.082</v>
      </c>
      <c r="I64" s="6">
        <v>2420.1496</v>
      </c>
      <c r="J64" s="6">
        <v>63</v>
      </c>
      <c r="K64" s="6">
        <v>59</v>
      </c>
      <c r="L64" s="75">
        <v>13649.64</v>
      </c>
      <c r="M64" s="76">
        <v>19.553</v>
      </c>
      <c r="N64" s="77">
        <v>217</v>
      </c>
      <c r="O64" s="76">
        <v>0.3072</v>
      </c>
      <c r="P64" s="78">
        <v>0</v>
      </c>
      <c r="Q64" s="3"/>
      <c r="R64" s="3"/>
      <c r="S64" s="3">
        <v>0</v>
      </c>
      <c r="T64" s="168">
        <v>107</v>
      </c>
      <c r="U64" s="77">
        <v>26393</v>
      </c>
      <c r="V64" s="43">
        <v>3425</v>
      </c>
      <c r="W64" s="3">
        <v>7</v>
      </c>
      <c r="X64" s="146">
        <v>150</v>
      </c>
      <c r="Y64" s="200">
        <v>-43</v>
      </c>
      <c r="Z64" s="145">
        <v>2700</v>
      </c>
      <c r="AA64" s="145">
        <v>1288</v>
      </c>
      <c r="AB64" s="145">
        <v>-1412</v>
      </c>
      <c r="AC64" s="201"/>
      <c r="AD64" s="104"/>
    </row>
    <row r="65" customFormat="1" ht="18" customHeight="1" spans="1:30">
      <c r="A65" s="3" t="s">
        <v>30</v>
      </c>
      <c r="B65" s="6" t="s">
        <v>34</v>
      </c>
      <c r="C65" s="6">
        <v>259</v>
      </c>
      <c r="D65" s="6">
        <v>107</v>
      </c>
      <c r="E65" s="75">
        <v>56897.6</v>
      </c>
      <c r="F65" s="76">
        <v>0.479</v>
      </c>
      <c r="G65" s="77">
        <v>220</v>
      </c>
      <c r="H65" s="76">
        <v>-0.1304</v>
      </c>
      <c r="I65" s="6">
        <v>0</v>
      </c>
      <c r="J65" s="6">
        <v>0</v>
      </c>
      <c r="K65" s="6">
        <v>0</v>
      </c>
      <c r="L65" s="75">
        <v>0</v>
      </c>
      <c r="M65" s="76" t="e">
        <v>#DIV/0!</v>
      </c>
      <c r="N65" s="77" t="e">
        <v>#DIV/0!</v>
      </c>
      <c r="O65" s="76" t="e">
        <v>#DIV/0!</v>
      </c>
      <c r="P65" s="78">
        <v>0</v>
      </c>
      <c r="Q65" s="202">
        <v>9509</v>
      </c>
      <c r="R65" s="3"/>
      <c r="S65" s="3">
        <v>0</v>
      </c>
      <c r="T65" s="168">
        <v>259</v>
      </c>
      <c r="U65" s="77">
        <v>66407</v>
      </c>
      <c r="V65" s="43">
        <v>8128</v>
      </c>
      <c r="W65" s="3">
        <v>7</v>
      </c>
      <c r="X65" s="150">
        <v>350</v>
      </c>
      <c r="Y65" s="195">
        <v>-83</v>
      </c>
      <c r="Z65" s="210">
        <v>6300</v>
      </c>
      <c r="AA65" s="210">
        <v>3757</v>
      </c>
      <c r="AB65" s="210">
        <v>-2543</v>
      </c>
      <c r="AC65" s="201"/>
      <c r="AD65" s="104"/>
    </row>
    <row r="66" customFormat="1" ht="18" customHeight="1" spans="1:30">
      <c r="A66" s="3" t="s">
        <v>30</v>
      </c>
      <c r="B66" s="6" t="s">
        <v>35</v>
      </c>
      <c r="C66" s="6">
        <v>0</v>
      </c>
      <c r="D66" s="6">
        <v>0</v>
      </c>
      <c r="E66" s="75">
        <v>0</v>
      </c>
      <c r="F66" s="76" t="e">
        <v>#DIV/0!</v>
      </c>
      <c r="G66" s="77" t="e">
        <v>#DIV/0!</v>
      </c>
      <c r="H66" s="76" t="e">
        <v>#DIV/0!</v>
      </c>
      <c r="I66" s="6">
        <v>0</v>
      </c>
      <c r="J66" s="6">
        <v>0</v>
      </c>
      <c r="K66" s="6">
        <v>0</v>
      </c>
      <c r="L66" s="75">
        <v>0</v>
      </c>
      <c r="M66" s="76" t="e">
        <v>#DIV/0!</v>
      </c>
      <c r="N66" s="77" t="e">
        <v>#DIV/0!</v>
      </c>
      <c r="O66" s="76" t="e">
        <v>#DIV/0!</v>
      </c>
      <c r="P66" s="78">
        <v>0</v>
      </c>
      <c r="Q66" s="3"/>
      <c r="R66" s="3"/>
      <c r="S66" s="3">
        <v>0</v>
      </c>
      <c r="T66" s="168">
        <v>0</v>
      </c>
      <c r="U66" s="77">
        <v>0</v>
      </c>
      <c r="V66" s="43" t="e">
        <v>#DIV/0!</v>
      </c>
      <c r="W66" s="3">
        <v>0</v>
      </c>
      <c r="X66" s="211"/>
      <c r="Y66" s="212"/>
      <c r="Z66" s="213"/>
      <c r="AA66" s="213"/>
      <c r="AB66" s="213"/>
      <c r="AC66" s="201" t="s">
        <v>221</v>
      </c>
      <c r="AD66" s="104"/>
    </row>
    <row r="67" customFormat="1" ht="18" customHeight="1" spans="1:30">
      <c r="A67" s="3" t="s">
        <v>30</v>
      </c>
      <c r="B67" s="6" t="s">
        <v>36</v>
      </c>
      <c r="C67" s="6">
        <v>8</v>
      </c>
      <c r="D67" s="6">
        <v>4</v>
      </c>
      <c r="E67" s="75">
        <v>462.88</v>
      </c>
      <c r="F67" s="76">
        <v>0.625</v>
      </c>
      <c r="G67" s="77">
        <v>58</v>
      </c>
      <c r="H67" s="76">
        <v>-0.1831</v>
      </c>
      <c r="I67" s="6">
        <v>539.9852</v>
      </c>
      <c r="J67" s="6">
        <v>0</v>
      </c>
      <c r="K67" s="6">
        <v>0</v>
      </c>
      <c r="L67" s="75">
        <v>0</v>
      </c>
      <c r="M67" s="76" t="e">
        <v>#DIV/0!</v>
      </c>
      <c r="N67" s="77" t="e">
        <v>#DIV/0!</v>
      </c>
      <c r="O67" s="76" t="e">
        <v>#DIV/0!</v>
      </c>
      <c r="P67" s="78">
        <v>0</v>
      </c>
      <c r="Q67" s="3"/>
      <c r="R67" s="3"/>
      <c r="S67" s="3">
        <v>0</v>
      </c>
      <c r="T67" s="168">
        <v>8</v>
      </c>
      <c r="U67" s="77">
        <v>1003</v>
      </c>
      <c r="V67" s="43">
        <v>463</v>
      </c>
      <c r="W67" s="3">
        <v>1</v>
      </c>
      <c r="X67" s="214"/>
      <c r="Y67" s="199"/>
      <c r="Z67" s="215"/>
      <c r="AA67" s="215"/>
      <c r="AB67" s="215"/>
      <c r="AC67" s="201"/>
      <c r="AD67" s="104"/>
    </row>
    <row r="68" customFormat="1" ht="18" customHeight="1" spans="1:30">
      <c r="A68" s="3" t="s">
        <v>30</v>
      </c>
      <c r="B68" s="6" t="s">
        <v>37</v>
      </c>
      <c r="C68" s="6">
        <v>169</v>
      </c>
      <c r="D68" s="6">
        <v>-35</v>
      </c>
      <c r="E68" s="75">
        <v>46069.74</v>
      </c>
      <c r="F68" s="76">
        <v>-0.2788</v>
      </c>
      <c r="G68" s="77">
        <v>273</v>
      </c>
      <c r="H68" s="76">
        <v>-0.1278</v>
      </c>
      <c r="I68" s="6">
        <v>9855.3394</v>
      </c>
      <c r="J68" s="6">
        <v>5</v>
      </c>
      <c r="K68" s="6">
        <v>2</v>
      </c>
      <c r="L68" s="75">
        <v>8697.26</v>
      </c>
      <c r="M68" s="76">
        <v>0.6266</v>
      </c>
      <c r="N68" s="77">
        <v>1739</v>
      </c>
      <c r="O68" s="76">
        <v>-0.0241</v>
      </c>
      <c r="P68" s="78">
        <v>0</v>
      </c>
      <c r="Q68" s="3"/>
      <c r="R68" s="3"/>
      <c r="S68" s="3">
        <v>0</v>
      </c>
      <c r="T68" s="168">
        <v>174</v>
      </c>
      <c r="U68" s="77">
        <v>64622</v>
      </c>
      <c r="V68" s="43">
        <v>6846</v>
      </c>
      <c r="W68" s="3">
        <v>8</v>
      </c>
      <c r="X68" s="146">
        <v>350</v>
      </c>
      <c r="Y68" s="200">
        <v>-176</v>
      </c>
      <c r="Z68" s="145">
        <v>6300</v>
      </c>
      <c r="AA68" s="145">
        <v>5652</v>
      </c>
      <c r="AB68" s="145">
        <v>-648</v>
      </c>
      <c r="AC68" s="201"/>
      <c r="AD68" s="104"/>
    </row>
    <row r="69" customFormat="1" ht="18" customHeight="1" spans="1:30">
      <c r="A69" s="3" t="s">
        <v>30</v>
      </c>
      <c r="B69" s="6" t="s">
        <v>38</v>
      </c>
      <c r="C69" s="6">
        <v>117</v>
      </c>
      <c r="D69" s="6">
        <v>-29</v>
      </c>
      <c r="E69" s="75">
        <v>39752.85</v>
      </c>
      <c r="F69" s="76">
        <v>0.3112</v>
      </c>
      <c r="G69" s="77">
        <v>340</v>
      </c>
      <c r="H69" s="76">
        <v>0.6346</v>
      </c>
      <c r="I69" s="6">
        <v>6495.3726</v>
      </c>
      <c r="J69" s="6">
        <v>0</v>
      </c>
      <c r="K69" s="6">
        <v>0</v>
      </c>
      <c r="L69" s="75">
        <v>0</v>
      </c>
      <c r="M69" s="76" t="e">
        <v>#DIV/0!</v>
      </c>
      <c r="N69" s="77" t="e">
        <v>#DIV/0!</v>
      </c>
      <c r="O69" s="76" t="e">
        <v>#DIV/0!</v>
      </c>
      <c r="P69" s="78">
        <v>0</v>
      </c>
      <c r="Q69" s="3"/>
      <c r="R69" s="3"/>
      <c r="S69" s="3">
        <v>0</v>
      </c>
      <c r="T69" s="168">
        <v>117</v>
      </c>
      <c r="U69" s="77">
        <v>46248</v>
      </c>
      <c r="V69" s="43">
        <v>9938</v>
      </c>
      <c r="W69" s="3">
        <v>4</v>
      </c>
      <c r="X69" s="146">
        <v>200</v>
      </c>
      <c r="Y69" s="200">
        <v>-83</v>
      </c>
      <c r="Z69" s="145">
        <v>3600</v>
      </c>
      <c r="AA69" s="145">
        <v>2403</v>
      </c>
      <c r="AB69" s="145">
        <v>-1197</v>
      </c>
      <c r="AC69" s="201"/>
      <c r="AD69" s="104"/>
    </row>
    <row r="70" customFormat="1" ht="18" customHeight="1" spans="1:30">
      <c r="A70" s="3" t="s">
        <v>30</v>
      </c>
      <c r="B70" s="6" t="s">
        <v>39</v>
      </c>
      <c r="C70" s="6">
        <v>98</v>
      </c>
      <c r="D70" s="6">
        <v>33</v>
      </c>
      <c r="E70" s="75">
        <v>9981.84</v>
      </c>
      <c r="F70" s="76">
        <v>0.2976</v>
      </c>
      <c r="G70" s="77">
        <v>102</v>
      </c>
      <c r="H70" s="76">
        <v>-0.1356</v>
      </c>
      <c r="I70" s="6">
        <v>5710.1988</v>
      </c>
      <c r="J70" s="6">
        <v>0</v>
      </c>
      <c r="K70" s="6">
        <v>0</v>
      </c>
      <c r="L70" s="75">
        <v>0</v>
      </c>
      <c r="M70" s="76" t="e">
        <v>#DIV/0!</v>
      </c>
      <c r="N70" s="77" t="e">
        <v>#DIV/0!</v>
      </c>
      <c r="O70" s="76" t="e">
        <v>#DIV/0!</v>
      </c>
      <c r="P70" s="78">
        <v>0</v>
      </c>
      <c r="Q70" s="3"/>
      <c r="R70" s="3"/>
      <c r="S70" s="3">
        <v>0</v>
      </c>
      <c r="T70" s="168">
        <v>98</v>
      </c>
      <c r="U70" s="77">
        <v>15692</v>
      </c>
      <c r="V70" s="43">
        <v>4991</v>
      </c>
      <c r="W70" s="3">
        <v>2</v>
      </c>
      <c r="X70" s="146">
        <v>100</v>
      </c>
      <c r="Y70" s="200">
        <v>-2</v>
      </c>
      <c r="Z70" s="145">
        <v>1800</v>
      </c>
      <c r="AA70" s="145">
        <v>1378</v>
      </c>
      <c r="AB70" s="145">
        <v>-422</v>
      </c>
      <c r="AC70" s="201"/>
      <c r="AD70" s="104"/>
    </row>
    <row r="71" customFormat="1" ht="18" customHeight="1" spans="1:30">
      <c r="A71" s="3" t="s">
        <v>30</v>
      </c>
      <c r="B71" s="6" t="s">
        <v>40</v>
      </c>
      <c r="C71" s="6">
        <v>214</v>
      </c>
      <c r="D71" s="6">
        <v>-21</v>
      </c>
      <c r="E71" s="75">
        <v>64716.04</v>
      </c>
      <c r="F71" s="76">
        <v>-0.0774</v>
      </c>
      <c r="G71" s="77">
        <v>302</v>
      </c>
      <c r="H71" s="76">
        <v>0.0134</v>
      </c>
      <c r="I71" s="6">
        <v>14549.56</v>
      </c>
      <c r="J71" s="6">
        <v>47</v>
      </c>
      <c r="K71" s="6">
        <v>9</v>
      </c>
      <c r="L71" s="75">
        <v>15088.29</v>
      </c>
      <c r="M71" s="76">
        <v>0.124</v>
      </c>
      <c r="N71" s="77">
        <v>321</v>
      </c>
      <c r="O71" s="76">
        <v>-0.0907</v>
      </c>
      <c r="P71" s="78">
        <v>0</v>
      </c>
      <c r="Q71" s="3"/>
      <c r="R71" s="3"/>
      <c r="S71" s="3">
        <v>0</v>
      </c>
      <c r="T71" s="168">
        <v>261</v>
      </c>
      <c r="U71" s="77">
        <v>94354</v>
      </c>
      <c r="V71" s="43">
        <v>15961</v>
      </c>
      <c r="W71" s="3">
        <v>5</v>
      </c>
      <c r="X71" s="146">
        <v>200</v>
      </c>
      <c r="Y71" s="200">
        <v>61</v>
      </c>
      <c r="Z71" s="145">
        <v>3600</v>
      </c>
      <c r="AA71" s="145">
        <v>3253</v>
      </c>
      <c r="AB71" s="145">
        <v>-347</v>
      </c>
      <c r="AC71" s="201"/>
      <c r="AD71" s="104"/>
    </row>
    <row r="72" customFormat="1" ht="18" customHeight="1" spans="1:30">
      <c r="A72" s="3" t="s">
        <v>30</v>
      </c>
      <c r="B72" s="6" t="s">
        <v>41</v>
      </c>
      <c r="C72" s="6">
        <v>5</v>
      </c>
      <c r="D72" s="6">
        <v>0</v>
      </c>
      <c r="E72" s="75">
        <v>1855.6</v>
      </c>
      <c r="F72" s="76">
        <v>-0.0525</v>
      </c>
      <c r="G72" s="77">
        <v>371</v>
      </c>
      <c r="H72" s="76">
        <v>-0.0536</v>
      </c>
      <c r="I72" s="6">
        <v>275.017</v>
      </c>
      <c r="J72" s="6">
        <v>0</v>
      </c>
      <c r="K72" s="6">
        <v>0</v>
      </c>
      <c r="L72" s="75">
        <v>0</v>
      </c>
      <c r="M72" s="76" t="e">
        <v>#DIV/0!</v>
      </c>
      <c r="N72" s="77" t="e">
        <v>#DIV/0!</v>
      </c>
      <c r="O72" s="76" t="e">
        <v>#DIV/0!</v>
      </c>
      <c r="P72" s="78">
        <v>0</v>
      </c>
      <c r="Q72" s="3"/>
      <c r="R72" s="3"/>
      <c r="S72" s="3">
        <v>0</v>
      </c>
      <c r="T72" s="168">
        <v>5</v>
      </c>
      <c r="U72" s="77">
        <v>2131</v>
      </c>
      <c r="V72" s="43" t="e">
        <v>#DIV/0!</v>
      </c>
      <c r="W72" s="3">
        <v>0</v>
      </c>
      <c r="X72" s="146">
        <v>0</v>
      </c>
      <c r="Y72" s="200">
        <v>5</v>
      </c>
      <c r="Z72" s="145">
        <v>0</v>
      </c>
      <c r="AA72" s="145">
        <v>84</v>
      </c>
      <c r="AB72" s="145">
        <v>84</v>
      </c>
      <c r="AC72" s="201" t="s">
        <v>222</v>
      </c>
      <c r="AD72" s="104"/>
    </row>
    <row r="73" customFormat="1" ht="18" customHeight="1" spans="1:30">
      <c r="A73" s="3" t="s">
        <v>30</v>
      </c>
      <c r="B73" s="6" t="s">
        <v>42</v>
      </c>
      <c r="C73" s="6">
        <v>335</v>
      </c>
      <c r="D73" s="6">
        <v>-54</v>
      </c>
      <c r="E73" s="75">
        <v>51024.51</v>
      </c>
      <c r="F73" s="76">
        <v>-0.1251</v>
      </c>
      <c r="G73" s="77">
        <v>152</v>
      </c>
      <c r="H73" s="76">
        <v>0.0133</v>
      </c>
      <c r="I73" s="6">
        <v>22404.4674</v>
      </c>
      <c r="J73" s="6">
        <v>0</v>
      </c>
      <c r="K73" s="6">
        <v>0</v>
      </c>
      <c r="L73" s="75">
        <v>0</v>
      </c>
      <c r="M73" s="76" t="e">
        <v>#DIV/0!</v>
      </c>
      <c r="N73" s="77" t="e">
        <v>#DIV/0!</v>
      </c>
      <c r="O73" s="76" t="e">
        <v>#DIV/0!</v>
      </c>
      <c r="P73" s="78">
        <v>0</v>
      </c>
      <c r="Q73" s="3"/>
      <c r="R73" s="3"/>
      <c r="S73" s="3">
        <v>0</v>
      </c>
      <c r="T73" s="168">
        <v>335</v>
      </c>
      <c r="U73" s="77">
        <v>73429</v>
      </c>
      <c r="V73" s="43">
        <v>12756</v>
      </c>
      <c r="W73" s="3">
        <v>4</v>
      </c>
      <c r="X73" s="146">
        <v>380</v>
      </c>
      <c r="Y73" s="200">
        <v>-45</v>
      </c>
      <c r="Z73" s="145">
        <v>6840</v>
      </c>
      <c r="AA73" s="145">
        <v>3446</v>
      </c>
      <c r="AB73" s="145">
        <v>-3394</v>
      </c>
      <c r="AC73" s="201"/>
      <c r="AD73" s="104"/>
    </row>
    <row r="74" customFormat="1" ht="18" customHeight="1" spans="1:30">
      <c r="A74" s="3" t="s">
        <v>30</v>
      </c>
      <c r="B74" s="6" t="s">
        <v>43</v>
      </c>
      <c r="C74" s="6">
        <v>432</v>
      </c>
      <c r="D74" s="6">
        <v>42</v>
      </c>
      <c r="E74" s="75">
        <v>92654.84</v>
      </c>
      <c r="F74" s="76">
        <v>-0.0022</v>
      </c>
      <c r="G74" s="77">
        <v>214</v>
      </c>
      <c r="H74" s="76">
        <v>-0.1008</v>
      </c>
      <c r="I74" s="6">
        <v>23781.4604</v>
      </c>
      <c r="J74" s="6">
        <v>0</v>
      </c>
      <c r="K74" s="6">
        <v>0</v>
      </c>
      <c r="L74" s="75">
        <v>0</v>
      </c>
      <c r="M74" s="76" t="e">
        <v>#DIV/0!</v>
      </c>
      <c r="N74" s="77" t="e">
        <v>#DIV/0!</v>
      </c>
      <c r="O74" s="76" t="e">
        <v>#DIV/0!</v>
      </c>
      <c r="P74" s="78">
        <v>0</v>
      </c>
      <c r="Q74" s="3"/>
      <c r="R74" s="3"/>
      <c r="S74" s="3">
        <v>0</v>
      </c>
      <c r="T74" s="168">
        <v>432</v>
      </c>
      <c r="U74" s="77">
        <v>116436</v>
      </c>
      <c r="V74" s="43">
        <v>18531</v>
      </c>
      <c r="W74" s="3">
        <v>5</v>
      </c>
      <c r="X74" s="146">
        <v>300</v>
      </c>
      <c r="Y74" s="200">
        <v>132</v>
      </c>
      <c r="Z74" s="145">
        <v>5400</v>
      </c>
      <c r="AA74" s="145">
        <v>6048</v>
      </c>
      <c r="AB74" s="145">
        <v>648</v>
      </c>
      <c r="AC74" s="201"/>
      <c r="AD74" s="104"/>
    </row>
    <row r="75" customFormat="1" ht="18" customHeight="1" spans="1:30">
      <c r="A75" s="3" t="s">
        <v>30</v>
      </c>
      <c r="B75" s="6" t="s">
        <v>44</v>
      </c>
      <c r="C75" s="6">
        <v>0</v>
      </c>
      <c r="D75" s="6">
        <v>0</v>
      </c>
      <c r="E75" s="75">
        <v>0</v>
      </c>
      <c r="F75" s="76" t="e">
        <v>#DIV/0!</v>
      </c>
      <c r="G75" s="77" t="e">
        <v>#DIV/0!</v>
      </c>
      <c r="H75" s="76" t="e">
        <v>#DIV/0!</v>
      </c>
      <c r="I75" s="6">
        <v>0</v>
      </c>
      <c r="J75" s="6">
        <v>0</v>
      </c>
      <c r="K75" s="6">
        <v>0</v>
      </c>
      <c r="L75" s="75">
        <v>0</v>
      </c>
      <c r="M75" s="76" t="e">
        <v>#DIV/0!</v>
      </c>
      <c r="N75" s="77" t="e">
        <v>#DIV/0!</v>
      </c>
      <c r="O75" s="76" t="e">
        <v>#DIV/0!</v>
      </c>
      <c r="P75" s="78">
        <v>0</v>
      </c>
      <c r="Q75" s="3"/>
      <c r="R75" s="3"/>
      <c r="S75" s="3">
        <v>0</v>
      </c>
      <c r="T75" s="168">
        <v>0</v>
      </c>
      <c r="U75" s="77">
        <v>0</v>
      </c>
      <c r="V75" s="43" t="e">
        <v>#DIV/0!</v>
      </c>
      <c r="W75" s="3">
        <v>0</v>
      </c>
      <c r="X75" s="146">
        <v>20</v>
      </c>
      <c r="Y75" s="200">
        <v>-20</v>
      </c>
      <c r="Z75" s="145">
        <v>360</v>
      </c>
      <c r="AA75" s="145">
        <v>15</v>
      </c>
      <c r="AB75" s="145">
        <v>-345</v>
      </c>
      <c r="AC75" s="201"/>
      <c r="AD75" s="104"/>
    </row>
    <row r="76" customFormat="1" ht="18" customHeight="1" spans="1:30">
      <c r="A76" s="3" t="s">
        <v>30</v>
      </c>
      <c r="B76" s="6" t="s">
        <v>45</v>
      </c>
      <c r="C76" s="6">
        <v>82</v>
      </c>
      <c r="D76" s="6">
        <v>46</v>
      </c>
      <c r="E76" s="75">
        <v>2919.72</v>
      </c>
      <c r="F76" s="76">
        <v>1.2778</v>
      </c>
      <c r="G76" s="77">
        <v>36</v>
      </c>
      <c r="H76" s="76">
        <v>0</v>
      </c>
      <c r="I76" s="6">
        <v>4510.2788</v>
      </c>
      <c r="J76" s="6">
        <v>12</v>
      </c>
      <c r="K76" s="6">
        <v>-7</v>
      </c>
      <c r="L76" s="75">
        <v>2307.8</v>
      </c>
      <c r="M76" s="76">
        <v>-0.5517</v>
      </c>
      <c r="N76" s="77">
        <v>192</v>
      </c>
      <c r="O76" s="76">
        <v>-0.2915</v>
      </c>
      <c r="P76" s="78">
        <v>0</v>
      </c>
      <c r="Q76" s="3"/>
      <c r="R76" s="3"/>
      <c r="S76" s="3">
        <v>0</v>
      </c>
      <c r="T76" s="168">
        <v>94</v>
      </c>
      <c r="U76" s="77">
        <v>9738</v>
      </c>
      <c r="V76" s="43">
        <v>1743</v>
      </c>
      <c r="W76" s="3">
        <v>3</v>
      </c>
      <c r="X76" s="146">
        <v>200</v>
      </c>
      <c r="Y76" s="200">
        <v>-106</v>
      </c>
      <c r="Z76" s="145">
        <v>3600</v>
      </c>
      <c r="AA76" s="145">
        <v>1508</v>
      </c>
      <c r="AB76" s="145">
        <v>-2092</v>
      </c>
      <c r="AC76" s="201" t="s">
        <v>223</v>
      </c>
      <c r="AD76" s="104"/>
    </row>
    <row r="77" s="163" customFormat="1" ht="18" customHeight="1" spans="1:30">
      <c r="A77" s="7" t="s">
        <v>46</v>
      </c>
      <c r="B77" s="8" t="s">
        <v>47</v>
      </c>
      <c r="C77" s="8">
        <v>627</v>
      </c>
      <c r="D77" s="8">
        <v>144</v>
      </c>
      <c r="E77" s="80">
        <v>240416.13</v>
      </c>
      <c r="F77" s="81">
        <v>0.1952</v>
      </c>
      <c r="G77" s="82">
        <v>383</v>
      </c>
      <c r="H77" s="81">
        <v>-0.0793</v>
      </c>
      <c r="I77" s="8">
        <v>0</v>
      </c>
      <c r="J77" s="8">
        <v>0</v>
      </c>
      <c r="K77" s="8">
        <v>0</v>
      </c>
      <c r="L77" s="80">
        <v>0</v>
      </c>
      <c r="M77" s="81" t="e">
        <v>#DIV/0!</v>
      </c>
      <c r="N77" s="82" t="e">
        <v>#DIV/0!</v>
      </c>
      <c r="O77" s="81" t="e">
        <v>#DIV/0!</v>
      </c>
      <c r="P77" s="83">
        <v>0</v>
      </c>
      <c r="Q77" s="53">
        <v>13281.6</v>
      </c>
      <c r="R77" s="53">
        <v>25922.52</v>
      </c>
      <c r="S77" s="9">
        <v>0</v>
      </c>
      <c r="T77" s="168">
        <v>627</v>
      </c>
      <c r="U77" s="82">
        <v>279620</v>
      </c>
      <c r="V77" s="192">
        <v>18433</v>
      </c>
      <c r="W77" s="193">
        <v>18</v>
      </c>
      <c r="X77" s="194">
        <v>1000</v>
      </c>
      <c r="Y77" s="195">
        <v>240</v>
      </c>
      <c r="Z77" s="216">
        <v>18000</v>
      </c>
      <c r="AA77" s="216">
        <v>20495</v>
      </c>
      <c r="AB77" s="216">
        <v>2495</v>
      </c>
      <c r="AC77" s="217" t="s">
        <v>224</v>
      </c>
      <c r="AD77" s="171"/>
    </row>
    <row r="78" s="163" customFormat="1" ht="18" customHeight="1" spans="1:30">
      <c r="A78" s="7" t="s">
        <v>46</v>
      </c>
      <c r="B78" s="8" t="s">
        <v>48</v>
      </c>
      <c r="C78" s="8">
        <v>570</v>
      </c>
      <c r="D78" s="8">
        <v>153</v>
      </c>
      <c r="E78" s="80">
        <v>79133.89</v>
      </c>
      <c r="F78" s="81">
        <v>0.2443</v>
      </c>
      <c r="G78" s="82">
        <v>139</v>
      </c>
      <c r="H78" s="81">
        <v>-0.0915</v>
      </c>
      <c r="I78" s="8">
        <v>37369.4096</v>
      </c>
      <c r="J78" s="8">
        <v>43</v>
      </c>
      <c r="K78" s="8">
        <v>21</v>
      </c>
      <c r="L78" s="80">
        <v>12247.46</v>
      </c>
      <c r="M78" s="81">
        <v>1.8</v>
      </c>
      <c r="N78" s="82">
        <v>285</v>
      </c>
      <c r="O78" s="81">
        <v>0.4322</v>
      </c>
      <c r="P78" s="83">
        <v>52532.35</v>
      </c>
      <c r="Q78" s="9"/>
      <c r="R78" s="9"/>
      <c r="S78" s="9">
        <v>0</v>
      </c>
      <c r="T78" s="168">
        <v>613</v>
      </c>
      <c r="U78" s="82">
        <v>181283</v>
      </c>
      <c r="V78" s="197"/>
      <c r="W78" s="198"/>
      <c r="X78" s="64"/>
      <c r="Y78" s="199"/>
      <c r="Z78" s="222"/>
      <c r="AA78" s="222"/>
      <c r="AB78" s="222"/>
      <c r="AC78" s="217"/>
      <c r="AD78" s="171"/>
    </row>
    <row r="79" s="163" customFormat="1" ht="18" customHeight="1" spans="1:30">
      <c r="A79" s="7" t="s">
        <v>46</v>
      </c>
      <c r="B79" s="8" t="s">
        <v>49</v>
      </c>
      <c r="C79" s="8">
        <v>134</v>
      </c>
      <c r="D79" s="8">
        <v>61</v>
      </c>
      <c r="E79" s="80">
        <v>30854.37</v>
      </c>
      <c r="F79" s="81">
        <v>1.007</v>
      </c>
      <c r="G79" s="82">
        <v>230</v>
      </c>
      <c r="H79" s="81">
        <v>0.09</v>
      </c>
      <c r="I79" s="8">
        <v>7490.4052</v>
      </c>
      <c r="J79" s="8">
        <v>0</v>
      </c>
      <c r="K79" s="8">
        <v>0</v>
      </c>
      <c r="L79" s="80">
        <v>0</v>
      </c>
      <c r="M79" s="81" t="e">
        <v>#DIV/0!</v>
      </c>
      <c r="N79" s="82" t="e">
        <v>#DIV/0!</v>
      </c>
      <c r="O79" s="81" t="e">
        <v>#DIV/0!</v>
      </c>
      <c r="P79" s="83">
        <v>0</v>
      </c>
      <c r="Q79" s="9"/>
      <c r="R79" s="9"/>
      <c r="S79" s="9">
        <v>0</v>
      </c>
      <c r="T79" s="168">
        <v>134</v>
      </c>
      <c r="U79" s="82">
        <v>38345</v>
      </c>
      <c r="V79" s="50">
        <v>10285</v>
      </c>
      <c r="W79" s="9">
        <v>3</v>
      </c>
      <c r="X79" s="149">
        <v>100</v>
      </c>
      <c r="Y79" s="200">
        <v>34</v>
      </c>
      <c r="Z79" s="148">
        <v>1800</v>
      </c>
      <c r="AA79" s="148">
        <v>2757</v>
      </c>
      <c r="AB79" s="148">
        <v>957</v>
      </c>
      <c r="AC79" s="217"/>
      <c r="AD79" s="171"/>
    </row>
    <row r="80" customFormat="1" ht="18" customHeight="1" spans="1:30">
      <c r="A80" s="10" t="s">
        <v>50</v>
      </c>
      <c r="B80" s="6" t="s">
        <v>51</v>
      </c>
      <c r="C80" s="6">
        <v>743</v>
      </c>
      <c r="D80" s="6">
        <v>-397</v>
      </c>
      <c r="E80" s="75">
        <v>234108.26</v>
      </c>
      <c r="F80" s="76">
        <v>-0.2436</v>
      </c>
      <c r="G80" s="77">
        <v>315</v>
      </c>
      <c r="H80" s="76">
        <v>0.1581</v>
      </c>
      <c r="I80" s="6">
        <v>0</v>
      </c>
      <c r="J80" s="6">
        <v>0</v>
      </c>
      <c r="K80" s="6">
        <v>0</v>
      </c>
      <c r="L80" s="75">
        <v>0</v>
      </c>
      <c r="M80" s="76" t="e">
        <v>#DIV/0!</v>
      </c>
      <c r="N80" s="77" t="e">
        <v>#DIV/0!</v>
      </c>
      <c r="O80" s="76" t="e">
        <v>#DIV/0!</v>
      </c>
      <c r="P80" s="78">
        <v>0</v>
      </c>
      <c r="Q80" s="130">
        <v>30710</v>
      </c>
      <c r="R80" s="3"/>
      <c r="S80" s="3">
        <v>0</v>
      </c>
      <c r="T80" s="168">
        <v>743</v>
      </c>
      <c r="U80" s="77">
        <v>264818</v>
      </c>
      <c r="V80" s="43">
        <v>13006</v>
      </c>
      <c r="W80" s="3">
        <v>18</v>
      </c>
      <c r="X80" s="223">
        <v>800</v>
      </c>
      <c r="Y80" s="200">
        <v>153</v>
      </c>
      <c r="Z80" s="224">
        <v>14400</v>
      </c>
      <c r="AA80" s="224">
        <v>20831</v>
      </c>
      <c r="AB80" s="224">
        <v>6431</v>
      </c>
      <c r="AC80" s="201"/>
      <c r="AD80" s="104"/>
    </row>
    <row r="81" customFormat="1" ht="18" customHeight="1" spans="1:30">
      <c r="A81" s="10" t="s">
        <v>50</v>
      </c>
      <c r="B81" s="6" t="s">
        <v>52</v>
      </c>
      <c r="C81" s="6">
        <v>210</v>
      </c>
      <c r="D81" s="6">
        <v>200</v>
      </c>
      <c r="E81" s="75">
        <v>67556.6</v>
      </c>
      <c r="F81" s="76">
        <v>8.2919</v>
      </c>
      <c r="G81" s="77">
        <v>322</v>
      </c>
      <c r="H81" s="76">
        <v>-0.5571</v>
      </c>
      <c r="I81" s="6">
        <v>0</v>
      </c>
      <c r="J81" s="6">
        <v>0</v>
      </c>
      <c r="K81" s="6">
        <v>0</v>
      </c>
      <c r="L81" s="75">
        <v>0</v>
      </c>
      <c r="M81" s="76" t="e">
        <v>#DIV/0!</v>
      </c>
      <c r="N81" s="77" t="e">
        <v>#DIV/0!</v>
      </c>
      <c r="O81" s="76" t="e">
        <v>#DIV/0!</v>
      </c>
      <c r="P81" s="78">
        <v>0</v>
      </c>
      <c r="Q81" s="130">
        <v>4939.5</v>
      </c>
      <c r="R81" s="3"/>
      <c r="S81" s="3">
        <v>0</v>
      </c>
      <c r="T81" s="168">
        <v>210</v>
      </c>
      <c r="U81" s="77">
        <v>72496</v>
      </c>
      <c r="V81" s="43">
        <v>13511</v>
      </c>
      <c r="W81" s="3">
        <v>5</v>
      </c>
      <c r="X81" s="223"/>
      <c r="Y81" s="200"/>
      <c r="Z81" s="224"/>
      <c r="AA81" s="224"/>
      <c r="AB81" s="224"/>
      <c r="AC81" s="201"/>
      <c r="AD81" s="104"/>
    </row>
    <row r="82" customFormat="1" ht="18" customHeight="1" spans="1:30">
      <c r="A82" s="10" t="s">
        <v>50</v>
      </c>
      <c r="B82" s="6" t="s">
        <v>53</v>
      </c>
      <c r="C82" s="6">
        <v>995</v>
      </c>
      <c r="D82" s="6">
        <v>34</v>
      </c>
      <c r="E82" s="75">
        <v>322196.34</v>
      </c>
      <c r="F82" s="76">
        <v>-0.0402</v>
      </c>
      <c r="G82" s="77">
        <v>324</v>
      </c>
      <c r="H82" s="76">
        <v>-0.0716</v>
      </c>
      <c r="I82" s="6">
        <v>0</v>
      </c>
      <c r="J82" s="6">
        <v>14</v>
      </c>
      <c r="K82" s="6">
        <v>6</v>
      </c>
      <c r="L82" s="75">
        <v>2553.26</v>
      </c>
      <c r="M82" s="76">
        <v>0.575</v>
      </c>
      <c r="N82" s="77">
        <v>182</v>
      </c>
      <c r="O82" s="76">
        <v>-0.1034</v>
      </c>
      <c r="P82" s="78">
        <v>0</v>
      </c>
      <c r="Q82" s="130">
        <v>35631</v>
      </c>
      <c r="R82" s="130">
        <v>3510</v>
      </c>
      <c r="S82" s="3">
        <v>0</v>
      </c>
      <c r="T82" s="168">
        <v>1009</v>
      </c>
      <c r="U82" s="77">
        <v>363891</v>
      </c>
      <c r="V82" s="225">
        <v>23516</v>
      </c>
      <c r="W82" s="226">
        <v>14</v>
      </c>
      <c r="X82" s="227">
        <v>700</v>
      </c>
      <c r="Y82" s="228">
        <v>318</v>
      </c>
      <c r="Z82" s="229">
        <v>12600</v>
      </c>
      <c r="AA82" s="229">
        <v>15139</v>
      </c>
      <c r="AB82" s="229">
        <v>2539</v>
      </c>
      <c r="AC82" s="230"/>
      <c r="AD82" s="104"/>
    </row>
    <row r="83" customFormat="1" ht="18" customHeight="1" spans="1:30">
      <c r="A83" s="10" t="s">
        <v>50</v>
      </c>
      <c r="B83" s="6" t="s">
        <v>54</v>
      </c>
      <c r="C83" s="6">
        <v>9</v>
      </c>
      <c r="D83" s="6">
        <v>-40</v>
      </c>
      <c r="E83" s="75">
        <v>4471.88</v>
      </c>
      <c r="F83" s="76">
        <v>-0.8181</v>
      </c>
      <c r="G83" s="77">
        <v>497</v>
      </c>
      <c r="H83" s="76">
        <v>-0.01</v>
      </c>
      <c r="I83" s="6">
        <v>495.0306</v>
      </c>
      <c r="J83" s="6">
        <v>0</v>
      </c>
      <c r="K83" s="6">
        <v>0</v>
      </c>
      <c r="L83" s="75">
        <v>0</v>
      </c>
      <c r="M83" s="76" t="e">
        <v>#DIV/0!</v>
      </c>
      <c r="N83" s="77" t="e">
        <v>#DIV/0!</v>
      </c>
      <c r="O83" s="76" t="e">
        <v>#DIV/0!</v>
      </c>
      <c r="P83" s="78">
        <v>0</v>
      </c>
      <c r="Q83" s="130"/>
      <c r="R83" s="3"/>
      <c r="S83" s="3">
        <v>0</v>
      </c>
      <c r="T83" s="168">
        <v>9</v>
      </c>
      <c r="U83" s="77">
        <v>4967</v>
      </c>
      <c r="V83" s="231"/>
      <c r="W83" s="232"/>
      <c r="X83" s="233"/>
      <c r="Y83" s="234"/>
      <c r="Z83" s="235"/>
      <c r="AA83" s="235"/>
      <c r="AB83" s="235"/>
      <c r="AC83" s="230"/>
      <c r="AD83" s="104"/>
    </row>
    <row r="84" s="164" customFormat="1" ht="18" customHeight="1" spans="1:30">
      <c r="A84" s="11" t="s">
        <v>55</v>
      </c>
      <c r="B84" s="12" t="s">
        <v>56</v>
      </c>
      <c r="C84" s="12">
        <v>313</v>
      </c>
      <c r="D84" s="12">
        <v>-144</v>
      </c>
      <c r="E84" s="85">
        <v>78875.39</v>
      </c>
      <c r="F84" s="86">
        <v>-0.3326</v>
      </c>
      <c r="G84" s="87">
        <v>252</v>
      </c>
      <c r="H84" s="86">
        <v>-0.027</v>
      </c>
      <c r="I84" s="12">
        <v>19095.2746</v>
      </c>
      <c r="J84" s="12">
        <v>0</v>
      </c>
      <c r="K84" s="12">
        <v>0</v>
      </c>
      <c r="L84" s="85">
        <v>0</v>
      </c>
      <c r="M84" s="86" t="e">
        <v>#DIV/0!</v>
      </c>
      <c r="N84" s="87" t="e">
        <v>#DIV/0!</v>
      </c>
      <c r="O84" s="86" t="e">
        <v>#DIV/0!</v>
      </c>
      <c r="P84" s="88">
        <v>0</v>
      </c>
      <c r="Q84" s="53"/>
      <c r="R84" s="53"/>
      <c r="S84" s="53">
        <v>0</v>
      </c>
      <c r="T84" s="12">
        <v>313</v>
      </c>
      <c r="U84" s="87">
        <v>97971</v>
      </c>
      <c r="V84" s="87" t="e">
        <v>#DIV/0!</v>
      </c>
      <c r="W84" s="12"/>
      <c r="X84" s="144"/>
      <c r="Y84" s="130"/>
      <c r="Z84" s="53"/>
      <c r="AA84" s="53"/>
      <c r="AB84" s="53"/>
      <c r="AC84" s="236"/>
    </row>
    <row r="85" s="164" customFormat="1" ht="18" customHeight="1" spans="1:30">
      <c r="A85" s="11" t="s">
        <v>55</v>
      </c>
      <c r="B85" s="12" t="s">
        <v>57</v>
      </c>
      <c r="C85" s="12">
        <v>439</v>
      </c>
      <c r="D85" s="12">
        <v>-179</v>
      </c>
      <c r="E85" s="85">
        <v>105671.96</v>
      </c>
      <c r="F85" s="86">
        <v>-0.3328</v>
      </c>
      <c r="G85" s="87">
        <v>241</v>
      </c>
      <c r="H85" s="86">
        <v>-0.0586</v>
      </c>
      <c r="I85" s="12">
        <v>0</v>
      </c>
      <c r="J85" s="12">
        <v>0</v>
      </c>
      <c r="K85" s="12">
        <v>0</v>
      </c>
      <c r="L85" s="85">
        <v>0</v>
      </c>
      <c r="M85" s="86" t="e">
        <v>#DIV/0!</v>
      </c>
      <c r="N85" s="87" t="e">
        <v>#DIV/0!</v>
      </c>
      <c r="O85" s="86" t="e">
        <v>#DIV/0!</v>
      </c>
      <c r="P85" s="88">
        <v>18560.48</v>
      </c>
      <c r="Q85" s="53"/>
      <c r="R85" s="53"/>
      <c r="S85" s="53">
        <v>0</v>
      </c>
      <c r="T85" s="12">
        <v>439</v>
      </c>
      <c r="U85" s="87">
        <v>124232</v>
      </c>
      <c r="V85" s="87" t="e">
        <v>#DIV/0!</v>
      </c>
      <c r="W85" s="12"/>
      <c r="X85" s="144"/>
      <c r="Y85" s="130"/>
      <c r="Z85" s="53"/>
      <c r="AA85" s="53"/>
      <c r="AB85" s="53"/>
      <c r="AC85" s="237" t="s">
        <v>225</v>
      </c>
    </row>
    <row r="86" s="164" customFormat="1" ht="18" customHeight="1" spans="1:30">
      <c r="A86" s="11" t="s">
        <v>55</v>
      </c>
      <c r="B86" s="12" t="s">
        <v>58</v>
      </c>
      <c r="C86" s="12">
        <v>29</v>
      </c>
      <c r="D86" s="12">
        <v>-15</v>
      </c>
      <c r="E86" s="85">
        <v>3340.55</v>
      </c>
      <c r="F86" s="86">
        <v>1.5068</v>
      </c>
      <c r="G86" s="87">
        <v>115</v>
      </c>
      <c r="H86" s="86">
        <v>2.8333</v>
      </c>
      <c r="I86" s="12">
        <v>2114.8802</v>
      </c>
      <c r="J86" s="12">
        <v>0</v>
      </c>
      <c r="K86" s="12">
        <v>0</v>
      </c>
      <c r="L86" s="85">
        <v>0</v>
      </c>
      <c r="M86" s="86" t="e">
        <v>#DIV/0!</v>
      </c>
      <c r="N86" s="87" t="e">
        <v>#DIV/0!</v>
      </c>
      <c r="O86" s="86" t="e">
        <v>#DIV/0!</v>
      </c>
      <c r="P86" s="88">
        <v>0</v>
      </c>
      <c r="Q86" s="53"/>
      <c r="R86" s="53"/>
      <c r="S86" s="53">
        <v>0</v>
      </c>
      <c r="T86" s="12">
        <v>29</v>
      </c>
      <c r="U86" s="87">
        <v>5455</v>
      </c>
      <c r="V86" s="87" t="e">
        <v>#DIV/0!</v>
      </c>
      <c r="W86" s="12"/>
      <c r="X86" s="144"/>
      <c r="Y86" s="130"/>
      <c r="Z86" s="53"/>
      <c r="AA86" s="53"/>
      <c r="AB86" s="53"/>
      <c r="AC86" s="237"/>
    </row>
    <row r="87" s="164" customFormat="1" ht="18" customHeight="1" spans="1:30">
      <c r="A87" s="11" t="s">
        <v>55</v>
      </c>
      <c r="B87" s="12" t="s">
        <v>59</v>
      </c>
      <c r="C87" s="12">
        <v>13</v>
      </c>
      <c r="D87" s="12">
        <v>-8</v>
      </c>
      <c r="E87" s="85">
        <v>1002.55</v>
      </c>
      <c r="F87" s="86">
        <v>-0.8473</v>
      </c>
      <c r="G87" s="87">
        <v>77</v>
      </c>
      <c r="H87" s="86">
        <v>-0.754</v>
      </c>
      <c r="I87" s="12">
        <v>775.019</v>
      </c>
      <c r="J87" s="12">
        <v>0</v>
      </c>
      <c r="K87" s="12">
        <v>0</v>
      </c>
      <c r="L87" s="85">
        <v>0</v>
      </c>
      <c r="M87" s="86" t="e">
        <v>#DIV/0!</v>
      </c>
      <c r="N87" s="87" t="e">
        <v>#DIV/0!</v>
      </c>
      <c r="O87" s="86" t="e">
        <v>#DIV/0!</v>
      </c>
      <c r="P87" s="88">
        <v>0</v>
      </c>
      <c r="Q87" s="53"/>
      <c r="R87" s="53"/>
      <c r="S87" s="53">
        <v>0</v>
      </c>
      <c r="T87" s="12">
        <v>13</v>
      </c>
      <c r="U87" s="87">
        <v>1778</v>
      </c>
      <c r="V87" s="87" t="e">
        <v>#DIV/0!</v>
      </c>
      <c r="W87" s="12"/>
      <c r="X87" s="144"/>
      <c r="Y87" s="130"/>
      <c r="Z87" s="53"/>
      <c r="AA87" s="53"/>
      <c r="AB87" s="53"/>
      <c r="AC87" s="237"/>
    </row>
    <row r="88" s="164" customFormat="1" ht="18" customHeight="1" spans="1:30">
      <c r="A88" s="11" t="s">
        <v>55</v>
      </c>
      <c r="B88" s="12" t="s">
        <v>60</v>
      </c>
      <c r="C88" s="12">
        <v>37</v>
      </c>
      <c r="D88" s="12">
        <v>-27</v>
      </c>
      <c r="E88" s="85">
        <v>11667.54</v>
      </c>
      <c r="F88" s="86">
        <v>-0.2918</v>
      </c>
      <c r="G88" s="87">
        <v>315</v>
      </c>
      <c r="H88" s="86">
        <v>0.2257</v>
      </c>
      <c r="I88" s="12">
        <v>2155.0754</v>
      </c>
      <c r="J88" s="12">
        <v>0</v>
      </c>
      <c r="K88" s="12">
        <v>0</v>
      </c>
      <c r="L88" s="85">
        <v>0</v>
      </c>
      <c r="M88" s="86" t="e">
        <v>#DIV/0!</v>
      </c>
      <c r="N88" s="87" t="e">
        <v>#DIV/0!</v>
      </c>
      <c r="O88" s="86" t="e">
        <v>#DIV/0!</v>
      </c>
      <c r="P88" s="88">
        <v>0</v>
      </c>
      <c r="Q88" s="53"/>
      <c r="R88" s="53"/>
      <c r="S88" s="53">
        <v>0</v>
      </c>
      <c r="T88" s="12">
        <v>37</v>
      </c>
      <c r="U88" s="87">
        <v>13823</v>
      </c>
      <c r="V88" s="87" t="e">
        <v>#DIV/0!</v>
      </c>
      <c r="W88" s="12"/>
      <c r="X88" s="144"/>
      <c r="Y88" s="130"/>
      <c r="Z88" s="53"/>
      <c r="AA88" s="53"/>
      <c r="AB88" s="53"/>
      <c r="AC88" s="237"/>
    </row>
    <row r="89" s="164" customFormat="1" ht="18" customHeight="1" spans="1:30">
      <c r="A89" s="11" t="s">
        <v>55</v>
      </c>
      <c r="B89" s="12" t="s">
        <v>61</v>
      </c>
      <c r="C89" s="12">
        <v>1</v>
      </c>
      <c r="D89" s="12">
        <v>-20</v>
      </c>
      <c r="E89" s="85">
        <v>240.28</v>
      </c>
      <c r="F89" s="86">
        <v>-0.8542</v>
      </c>
      <c r="G89" s="87">
        <v>240</v>
      </c>
      <c r="H89" s="86">
        <v>2.0769</v>
      </c>
      <c r="I89" s="12">
        <v>74.995</v>
      </c>
      <c r="J89" s="12">
        <v>0</v>
      </c>
      <c r="K89" s="12">
        <v>0</v>
      </c>
      <c r="L89" s="85">
        <v>0</v>
      </c>
      <c r="M89" s="86" t="e">
        <v>#DIV/0!</v>
      </c>
      <c r="N89" s="87" t="e">
        <v>#DIV/0!</v>
      </c>
      <c r="O89" s="86" t="e">
        <v>#DIV/0!</v>
      </c>
      <c r="P89" s="88">
        <v>0</v>
      </c>
      <c r="Q89" s="53"/>
      <c r="R89" s="53"/>
      <c r="S89" s="53">
        <v>0</v>
      </c>
      <c r="T89" s="12">
        <v>1</v>
      </c>
      <c r="U89" s="87">
        <v>315</v>
      </c>
      <c r="V89" s="87" t="e">
        <v>#DIV/0!</v>
      </c>
      <c r="W89" s="12"/>
      <c r="X89" s="144"/>
      <c r="Y89" s="130"/>
      <c r="Z89" s="53"/>
      <c r="AA89" s="53"/>
      <c r="AB89" s="53"/>
      <c r="AC89" s="237"/>
    </row>
    <row r="90" s="164" customFormat="1" ht="18" customHeight="1" spans="1:30">
      <c r="A90" s="11" t="s">
        <v>55</v>
      </c>
      <c r="B90" s="12" t="s">
        <v>62</v>
      </c>
      <c r="C90" s="12">
        <v>5</v>
      </c>
      <c r="D90" s="12">
        <v>-21</v>
      </c>
      <c r="E90" s="85">
        <v>594</v>
      </c>
      <c r="F90" s="86">
        <v>-0.8923</v>
      </c>
      <c r="G90" s="87">
        <v>119</v>
      </c>
      <c r="H90" s="86">
        <v>-0.4387</v>
      </c>
      <c r="I90" s="12">
        <v>334.9918</v>
      </c>
      <c r="J90" s="12">
        <v>0</v>
      </c>
      <c r="K90" s="12">
        <v>0</v>
      </c>
      <c r="L90" s="85">
        <v>0</v>
      </c>
      <c r="M90" s="86" t="e">
        <v>#DIV/0!</v>
      </c>
      <c r="N90" s="87" t="e">
        <v>#DIV/0!</v>
      </c>
      <c r="O90" s="86" t="e">
        <v>#DIV/0!</v>
      </c>
      <c r="P90" s="88">
        <v>0</v>
      </c>
      <c r="Q90" s="53"/>
      <c r="R90" s="53"/>
      <c r="S90" s="53">
        <v>0</v>
      </c>
      <c r="T90" s="12">
        <v>5</v>
      </c>
      <c r="U90" s="87">
        <v>929</v>
      </c>
      <c r="V90" s="87" t="e">
        <v>#DIV/0!</v>
      </c>
      <c r="W90" s="12"/>
      <c r="X90" s="144"/>
      <c r="Y90" s="130"/>
      <c r="Z90" s="53"/>
      <c r="AA90" s="53"/>
      <c r="AB90" s="53"/>
      <c r="AC90" s="237"/>
    </row>
    <row r="91" s="164" customFormat="1" ht="18" customHeight="1" spans="1:30">
      <c r="A91" s="11" t="s">
        <v>55</v>
      </c>
      <c r="B91" s="12" t="s">
        <v>63</v>
      </c>
      <c r="C91" s="12">
        <v>170</v>
      </c>
      <c r="D91" s="12">
        <v>-11</v>
      </c>
      <c r="E91" s="85">
        <v>15713.81</v>
      </c>
      <c r="F91" s="86">
        <v>-0.1381</v>
      </c>
      <c r="G91" s="87">
        <v>92</v>
      </c>
      <c r="H91" s="86">
        <v>-0.0891</v>
      </c>
      <c r="I91" s="12">
        <v>12729.1584</v>
      </c>
      <c r="J91" s="12">
        <v>0</v>
      </c>
      <c r="K91" s="12">
        <v>0</v>
      </c>
      <c r="L91" s="85">
        <v>0</v>
      </c>
      <c r="M91" s="86" t="e">
        <v>#DIV/0!</v>
      </c>
      <c r="N91" s="87" t="e">
        <v>#DIV/0!</v>
      </c>
      <c r="O91" s="86" t="e">
        <v>#DIV/0!</v>
      </c>
      <c r="P91" s="88">
        <v>2110.97</v>
      </c>
      <c r="Q91" s="53"/>
      <c r="R91" s="53"/>
      <c r="S91" s="53">
        <v>0</v>
      </c>
      <c r="T91" s="12">
        <v>170</v>
      </c>
      <c r="U91" s="87">
        <v>30554</v>
      </c>
      <c r="V91" s="87" t="e">
        <v>#DIV/0!</v>
      </c>
      <c r="W91" s="12"/>
      <c r="X91" s="144"/>
      <c r="Y91" s="130"/>
      <c r="Z91" s="53"/>
      <c r="AA91" s="53"/>
      <c r="AB91" s="53"/>
      <c r="AC91" s="237"/>
    </row>
    <row r="92" s="164" customFormat="1" ht="18" customHeight="1" spans="1:30">
      <c r="A92" s="11" t="s">
        <v>55</v>
      </c>
      <c r="B92" s="12" t="s">
        <v>64</v>
      </c>
      <c r="C92" s="12">
        <v>152</v>
      </c>
      <c r="D92" s="12">
        <v>42</v>
      </c>
      <c r="E92" s="85">
        <v>66736.29</v>
      </c>
      <c r="F92" s="86">
        <v>0.545</v>
      </c>
      <c r="G92" s="87">
        <v>439</v>
      </c>
      <c r="H92" s="86">
        <v>0.117</v>
      </c>
      <c r="I92" s="12">
        <v>8400.5</v>
      </c>
      <c r="J92" s="12">
        <v>0</v>
      </c>
      <c r="K92" s="12">
        <v>0</v>
      </c>
      <c r="L92" s="85">
        <v>0</v>
      </c>
      <c r="M92" s="86" t="e">
        <v>#DIV/0!</v>
      </c>
      <c r="N92" s="87" t="e">
        <v>#DIV/0!</v>
      </c>
      <c r="O92" s="86" t="e">
        <v>#DIV/0!</v>
      </c>
      <c r="P92" s="88">
        <v>0</v>
      </c>
      <c r="Q92" s="53"/>
      <c r="R92" s="53"/>
      <c r="S92" s="53">
        <v>0</v>
      </c>
      <c r="T92" s="12">
        <v>152</v>
      </c>
      <c r="U92" s="87">
        <v>75137</v>
      </c>
      <c r="V92" s="87" t="e">
        <v>#DIV/0!</v>
      </c>
      <c r="W92" s="12"/>
      <c r="X92" s="144"/>
      <c r="Y92" s="130"/>
      <c r="Z92" s="53"/>
      <c r="AA92" s="53"/>
      <c r="AB92" s="53"/>
      <c r="AC92" s="237"/>
    </row>
    <row r="93" s="164" customFormat="1" ht="18" customHeight="1" spans="1:30">
      <c r="A93" s="11" t="s">
        <v>55</v>
      </c>
      <c r="B93" s="12" t="s">
        <v>65</v>
      </c>
      <c r="C93" s="12">
        <v>545</v>
      </c>
      <c r="D93" s="12">
        <v>173</v>
      </c>
      <c r="E93" s="85">
        <v>136039.81</v>
      </c>
      <c r="F93" s="86">
        <v>0.8977</v>
      </c>
      <c r="G93" s="87">
        <v>250</v>
      </c>
      <c r="H93" s="86">
        <v>0.2953</v>
      </c>
      <c r="I93" s="12">
        <v>31436.2398</v>
      </c>
      <c r="J93" s="12">
        <v>0</v>
      </c>
      <c r="K93" s="12">
        <v>0</v>
      </c>
      <c r="L93" s="85">
        <v>0</v>
      </c>
      <c r="M93" s="86" t="e">
        <v>#DIV/0!</v>
      </c>
      <c r="N93" s="87" t="e">
        <v>#DIV/0!</v>
      </c>
      <c r="O93" s="86" t="e">
        <v>#DIV/0!</v>
      </c>
      <c r="P93" s="88">
        <v>0</v>
      </c>
      <c r="Q93" s="53"/>
      <c r="R93" s="53"/>
      <c r="S93" s="53">
        <v>0</v>
      </c>
      <c r="T93" s="12">
        <v>545</v>
      </c>
      <c r="U93" s="87">
        <v>167476</v>
      </c>
      <c r="V93" s="87" t="e">
        <v>#DIV/0!</v>
      </c>
      <c r="W93" s="12"/>
      <c r="X93" s="144"/>
      <c r="Y93" s="130"/>
      <c r="Z93" s="53"/>
      <c r="AA93" s="53"/>
      <c r="AB93" s="53"/>
      <c r="AC93" s="237"/>
    </row>
    <row r="94" s="164" customFormat="1" ht="18" customHeight="1" spans="1:30">
      <c r="A94" s="11" t="s">
        <v>55</v>
      </c>
      <c r="B94" s="12" t="s">
        <v>66</v>
      </c>
      <c r="C94" s="12">
        <v>81</v>
      </c>
      <c r="D94" s="12">
        <v>47</v>
      </c>
      <c r="E94" s="85">
        <v>20876.67</v>
      </c>
      <c r="F94" s="86">
        <v>0.6821</v>
      </c>
      <c r="G94" s="87">
        <v>258</v>
      </c>
      <c r="H94" s="86">
        <v>-0.2932</v>
      </c>
      <c r="I94" s="12">
        <v>0</v>
      </c>
      <c r="J94" s="12">
        <v>0</v>
      </c>
      <c r="K94" s="12">
        <v>0</v>
      </c>
      <c r="L94" s="85">
        <v>0</v>
      </c>
      <c r="M94" s="86" t="e">
        <v>#DIV/0!</v>
      </c>
      <c r="N94" s="87" t="e">
        <v>#DIV/0!</v>
      </c>
      <c r="O94" s="86" t="e">
        <v>#DIV/0!</v>
      </c>
      <c r="P94" s="88">
        <v>0</v>
      </c>
      <c r="Q94" s="53"/>
      <c r="R94" s="53"/>
      <c r="S94" s="53">
        <v>0</v>
      </c>
      <c r="T94" s="12">
        <v>81</v>
      </c>
      <c r="U94" s="87">
        <v>20877</v>
      </c>
      <c r="V94" s="87" t="e">
        <v>#DIV/0!</v>
      </c>
      <c r="W94" s="12"/>
      <c r="X94" s="144"/>
      <c r="Y94" s="130"/>
      <c r="Z94" s="53"/>
      <c r="AA94" s="53"/>
      <c r="AB94" s="53"/>
      <c r="AC94" s="237" t="s">
        <v>226</v>
      </c>
    </row>
    <row r="95" s="164" customFormat="1" ht="18" customHeight="1" spans="1:30">
      <c r="A95" s="11" t="s">
        <v>55</v>
      </c>
      <c r="B95" s="12" t="s">
        <v>67</v>
      </c>
      <c r="C95" s="12">
        <v>5</v>
      </c>
      <c r="D95" s="12">
        <v>-1</v>
      </c>
      <c r="E95" s="85">
        <v>346.79</v>
      </c>
      <c r="F95" s="86">
        <v>-0.2134</v>
      </c>
      <c r="G95" s="87">
        <v>69</v>
      </c>
      <c r="H95" s="86">
        <v>-0.0548</v>
      </c>
      <c r="I95" s="12">
        <v>295.0086</v>
      </c>
      <c r="J95" s="12">
        <v>20</v>
      </c>
      <c r="K95" s="12">
        <v>10</v>
      </c>
      <c r="L95" s="85">
        <v>3620.2</v>
      </c>
      <c r="M95" s="86">
        <v>0.5157</v>
      </c>
      <c r="N95" s="87">
        <v>181</v>
      </c>
      <c r="O95" s="86">
        <v>-0.2427</v>
      </c>
      <c r="P95" s="88">
        <v>0</v>
      </c>
      <c r="Q95" s="53"/>
      <c r="R95" s="53"/>
      <c r="S95" s="53">
        <v>0</v>
      </c>
      <c r="T95" s="12">
        <v>25</v>
      </c>
      <c r="U95" s="87">
        <v>4262</v>
      </c>
      <c r="V95" s="87" t="e">
        <v>#DIV/0!</v>
      </c>
      <c r="W95" s="12"/>
      <c r="X95" s="144"/>
      <c r="Y95" s="130"/>
      <c r="Z95" s="53"/>
      <c r="AA95" s="53"/>
      <c r="AB95" s="53"/>
      <c r="AC95" s="237"/>
    </row>
    <row r="96" s="164" customFormat="1" ht="18" customHeight="1" spans="1:30">
      <c r="A96" s="11" t="s">
        <v>68</v>
      </c>
      <c r="B96" s="12" t="s">
        <v>69</v>
      </c>
      <c r="C96" s="12">
        <v>20</v>
      </c>
      <c r="D96" s="12">
        <v>-10</v>
      </c>
      <c r="E96" s="85">
        <v>8810.47</v>
      </c>
      <c r="F96" s="86">
        <v>-0.3684</v>
      </c>
      <c r="G96" s="87">
        <v>441</v>
      </c>
      <c r="H96" s="86">
        <v>-0.0516</v>
      </c>
      <c r="I96" s="12">
        <v>1100.068</v>
      </c>
      <c r="J96" s="12">
        <v>0</v>
      </c>
      <c r="K96" s="12">
        <v>0</v>
      </c>
      <c r="L96" s="85">
        <v>0</v>
      </c>
      <c r="M96" s="86" t="e">
        <v>#DIV/0!</v>
      </c>
      <c r="N96" s="87" t="e">
        <v>#DIV/0!</v>
      </c>
      <c r="O96" s="86" t="e">
        <v>#DIV/0!</v>
      </c>
      <c r="P96" s="88">
        <v>0</v>
      </c>
      <c r="Q96" s="53"/>
      <c r="R96" s="53"/>
      <c r="S96" s="53">
        <v>0</v>
      </c>
      <c r="T96" s="12">
        <v>20</v>
      </c>
      <c r="U96" s="87">
        <v>9911</v>
      </c>
      <c r="V96" s="87" t="e">
        <v>#DIV/0!</v>
      </c>
      <c r="W96" s="12"/>
      <c r="X96" s="144"/>
      <c r="Y96" s="130"/>
      <c r="Z96" s="53"/>
      <c r="AA96" s="53"/>
      <c r="AB96" s="53"/>
      <c r="AC96" s="237"/>
    </row>
    <row r="97" s="164" customFormat="1" ht="18" customHeight="1" spans="1:29">
      <c r="A97" s="11" t="s">
        <v>55</v>
      </c>
      <c r="B97" s="12" t="s">
        <v>70</v>
      </c>
      <c r="C97" s="12">
        <v>0</v>
      </c>
      <c r="D97" s="12">
        <v>0</v>
      </c>
      <c r="E97" s="85">
        <v>0</v>
      </c>
      <c r="F97" s="86" t="e">
        <v>#DIV/0!</v>
      </c>
      <c r="G97" s="87" t="e">
        <v>#DIV/0!</v>
      </c>
      <c r="H97" s="86" t="e">
        <v>#DIV/0!</v>
      </c>
      <c r="I97" s="12">
        <v>0</v>
      </c>
      <c r="J97" s="12">
        <v>0</v>
      </c>
      <c r="K97" s="12">
        <v>0</v>
      </c>
      <c r="L97" s="85">
        <v>0</v>
      </c>
      <c r="M97" s="86" t="e">
        <v>#DIV/0!</v>
      </c>
      <c r="N97" s="87" t="e">
        <v>#DIV/0!</v>
      </c>
      <c r="O97" s="86" t="e">
        <v>#DIV/0!</v>
      </c>
      <c r="P97" s="88">
        <v>0</v>
      </c>
      <c r="Q97" s="53"/>
      <c r="R97" s="53"/>
      <c r="S97" s="53">
        <v>0</v>
      </c>
      <c r="T97" s="12">
        <v>0</v>
      </c>
      <c r="U97" s="87">
        <v>0</v>
      </c>
      <c r="V97" s="87" t="e">
        <v>#DIV/0!</v>
      </c>
      <c r="W97" s="12"/>
      <c r="X97" s="144"/>
      <c r="Y97" s="130"/>
      <c r="Z97" s="53"/>
      <c r="AA97" s="53"/>
      <c r="AB97" s="53"/>
      <c r="AC97" s="237" t="s">
        <v>227</v>
      </c>
    </row>
    <row r="98" s="164" customFormat="1" ht="18" customHeight="1" spans="1:29">
      <c r="A98" s="11" t="s">
        <v>55</v>
      </c>
      <c r="B98" s="12" t="s">
        <v>71</v>
      </c>
      <c r="C98" s="12">
        <v>22</v>
      </c>
      <c r="D98" s="12">
        <v>-24</v>
      </c>
      <c r="E98" s="85">
        <v>6025.97</v>
      </c>
      <c r="F98" s="86">
        <v>-0.5129</v>
      </c>
      <c r="G98" s="87">
        <v>274</v>
      </c>
      <c r="H98" s="86">
        <v>0.0186</v>
      </c>
      <c r="I98" s="12">
        <v>1230.0664</v>
      </c>
      <c r="J98" s="12">
        <v>0</v>
      </c>
      <c r="K98" s="12">
        <v>0</v>
      </c>
      <c r="L98" s="85">
        <v>0</v>
      </c>
      <c r="M98" s="86" t="e">
        <v>#DIV/0!</v>
      </c>
      <c r="N98" s="87" t="e">
        <v>#DIV/0!</v>
      </c>
      <c r="O98" s="86" t="e">
        <v>#DIV/0!</v>
      </c>
      <c r="P98" s="88">
        <v>0</v>
      </c>
      <c r="Q98" s="53"/>
      <c r="R98" s="53"/>
      <c r="S98" s="53">
        <v>0</v>
      </c>
      <c r="T98" s="12">
        <v>22</v>
      </c>
      <c r="U98" s="87">
        <v>7256</v>
      </c>
      <c r="V98" s="87" t="e">
        <v>#DIV/0!</v>
      </c>
      <c r="W98" s="12"/>
      <c r="X98" s="144"/>
      <c r="Y98" s="130"/>
      <c r="Z98" s="53"/>
      <c r="AA98" s="53"/>
      <c r="AB98" s="53"/>
      <c r="AC98" s="237"/>
    </row>
    <row r="99" s="164" customFormat="1" ht="15.6" customHeight="1" spans="1:29">
      <c r="A99" s="11" t="s">
        <v>55</v>
      </c>
      <c r="B99" s="12" t="s">
        <v>72</v>
      </c>
      <c r="C99" s="12">
        <v>1</v>
      </c>
      <c r="D99" s="12">
        <v>1</v>
      </c>
      <c r="E99" s="85">
        <v>209.98</v>
      </c>
      <c r="F99" s="86" t="e">
        <v>#DIV/0!</v>
      </c>
      <c r="G99" s="87">
        <v>210</v>
      </c>
      <c r="H99" s="86" t="e">
        <v>#DIV/0!</v>
      </c>
      <c r="I99" s="12">
        <v>74.995</v>
      </c>
      <c r="J99" s="12">
        <v>0</v>
      </c>
      <c r="K99" s="12">
        <v>0</v>
      </c>
      <c r="L99" s="85">
        <v>0</v>
      </c>
      <c r="M99" s="86" t="e">
        <v>#DIV/0!</v>
      </c>
      <c r="N99" s="87" t="e">
        <v>#DIV/0!</v>
      </c>
      <c r="O99" s="86" t="e">
        <v>#DIV/0!</v>
      </c>
      <c r="P99" s="88">
        <v>0</v>
      </c>
      <c r="Q99" s="53"/>
      <c r="R99" s="53"/>
      <c r="S99" s="53">
        <v>0</v>
      </c>
      <c r="T99" s="12">
        <v>1</v>
      </c>
      <c r="U99" s="87">
        <v>285</v>
      </c>
      <c r="V99" s="87" t="e">
        <v>#DIV/0!</v>
      </c>
      <c r="W99" s="12"/>
      <c r="X99" s="144"/>
      <c r="Y99" s="130"/>
      <c r="Z99" s="53"/>
      <c r="AA99" s="53"/>
      <c r="AB99" s="53"/>
      <c r="AC99" s="237"/>
    </row>
    <row r="100" s="164" customFormat="1" ht="15.6" customHeight="1" spans="1:29">
      <c r="A100" s="11" t="s">
        <v>55</v>
      </c>
      <c r="B100" s="12" t="s">
        <v>73</v>
      </c>
      <c r="C100" s="12">
        <v>0</v>
      </c>
      <c r="D100" s="12">
        <v>0</v>
      </c>
      <c r="E100" s="85">
        <v>0</v>
      </c>
      <c r="F100" s="86" t="e">
        <v>#DIV/0!</v>
      </c>
      <c r="G100" s="87" t="e">
        <v>#DIV/0!</v>
      </c>
      <c r="H100" s="86" t="e">
        <v>#DIV/0!</v>
      </c>
      <c r="I100" s="12">
        <v>0</v>
      </c>
      <c r="J100" s="12">
        <v>0</v>
      </c>
      <c r="K100" s="12">
        <v>0</v>
      </c>
      <c r="L100" s="85">
        <v>0</v>
      </c>
      <c r="M100" s="86" t="e">
        <v>#DIV/0!</v>
      </c>
      <c r="N100" s="87" t="e">
        <v>#DIV/0!</v>
      </c>
      <c r="O100" s="86" t="e">
        <v>#DIV/0!</v>
      </c>
      <c r="P100" s="88">
        <v>0</v>
      </c>
      <c r="Q100" s="53"/>
      <c r="R100" s="53"/>
      <c r="S100" s="53">
        <v>0</v>
      </c>
      <c r="T100" s="12">
        <v>0</v>
      </c>
      <c r="U100" s="87">
        <v>0</v>
      </c>
      <c r="V100" s="87" t="e">
        <v>#DIV/0!</v>
      </c>
      <c r="W100" s="12"/>
      <c r="X100" s="144"/>
      <c r="Y100" s="130"/>
      <c r="Z100" s="53"/>
      <c r="AA100" s="53"/>
      <c r="AB100" s="53"/>
      <c r="AC100" s="237" t="s">
        <v>228</v>
      </c>
    </row>
    <row r="101" s="164" customFormat="1" ht="15.6" customHeight="1" spans="1:29">
      <c r="A101" s="11" t="s">
        <v>55</v>
      </c>
      <c r="B101" s="12" t="s">
        <v>74</v>
      </c>
      <c r="C101" s="12">
        <v>69</v>
      </c>
      <c r="D101" s="12">
        <v>14</v>
      </c>
      <c r="E101" s="85">
        <v>26791.32</v>
      </c>
      <c r="F101" s="86">
        <v>0.2526</v>
      </c>
      <c r="G101" s="87">
        <v>388</v>
      </c>
      <c r="H101" s="86">
        <v>-0.0026</v>
      </c>
      <c r="I101" s="12">
        <v>3795.2346</v>
      </c>
      <c r="J101" s="12">
        <v>0</v>
      </c>
      <c r="K101" s="12">
        <v>0</v>
      </c>
      <c r="L101" s="85">
        <v>0</v>
      </c>
      <c r="M101" s="86" t="e">
        <v>#DIV/0!</v>
      </c>
      <c r="N101" s="87" t="e">
        <v>#DIV/0!</v>
      </c>
      <c r="O101" s="86" t="e">
        <v>#DIV/0!</v>
      </c>
      <c r="P101" s="88">
        <v>0</v>
      </c>
      <c r="Q101" s="53"/>
      <c r="R101" s="53"/>
      <c r="S101" s="53">
        <v>0</v>
      </c>
      <c r="T101" s="12">
        <v>69</v>
      </c>
      <c r="U101" s="87">
        <v>30587</v>
      </c>
      <c r="V101" s="87" t="e">
        <v>#DIV/0!</v>
      </c>
      <c r="W101" s="12"/>
      <c r="X101" s="144"/>
      <c r="Y101" s="130"/>
      <c r="Z101" s="53"/>
      <c r="AA101" s="53"/>
      <c r="AB101" s="53"/>
      <c r="AC101" s="237" t="s">
        <v>229</v>
      </c>
    </row>
    <row r="102" s="164" customFormat="1" ht="15.6" customHeight="1" spans="1:29">
      <c r="A102" s="11" t="s">
        <v>55</v>
      </c>
      <c r="B102" s="12" t="s">
        <v>75</v>
      </c>
      <c r="C102" s="12">
        <v>123</v>
      </c>
      <c r="D102" s="12">
        <v>77</v>
      </c>
      <c r="E102" s="85">
        <v>17520.06</v>
      </c>
      <c r="F102" s="86">
        <v>1.8388</v>
      </c>
      <c r="G102" s="87">
        <v>142</v>
      </c>
      <c r="H102" s="86">
        <v>0.0597</v>
      </c>
      <c r="I102" s="12">
        <v>9224.385</v>
      </c>
      <c r="J102" s="12">
        <v>0</v>
      </c>
      <c r="K102" s="12">
        <v>0</v>
      </c>
      <c r="L102" s="85">
        <v>0</v>
      </c>
      <c r="M102" s="86" t="e">
        <v>#DIV/0!</v>
      </c>
      <c r="N102" s="87" t="e">
        <v>#DIV/0!</v>
      </c>
      <c r="O102" s="86" t="e">
        <v>#DIV/0!</v>
      </c>
      <c r="P102" s="88">
        <v>1095.15</v>
      </c>
      <c r="Q102" s="53"/>
      <c r="R102" s="53"/>
      <c r="S102" s="53">
        <v>0</v>
      </c>
      <c r="T102" s="12">
        <v>123</v>
      </c>
      <c r="U102" s="87">
        <v>27840</v>
      </c>
      <c r="V102" s="87" t="e">
        <v>#DIV/0!</v>
      </c>
      <c r="W102" s="12"/>
      <c r="X102" s="144"/>
      <c r="Y102" s="130"/>
      <c r="Z102" s="53"/>
      <c r="AA102" s="53"/>
      <c r="AB102" s="53"/>
      <c r="AC102" s="237"/>
    </row>
    <row r="103" customFormat="1" ht="15.6" customHeight="1" spans="1:29">
      <c r="A103" s="10" t="s">
        <v>76</v>
      </c>
      <c r="B103" s="6" t="s">
        <v>77</v>
      </c>
      <c r="C103" s="6">
        <v>0</v>
      </c>
      <c r="D103" s="6">
        <v>0</v>
      </c>
      <c r="E103" s="75">
        <v>0</v>
      </c>
      <c r="F103" s="76" t="e">
        <v>#DIV/0!</v>
      </c>
      <c r="G103" s="77" t="e">
        <v>#DIV/0!</v>
      </c>
      <c r="H103" s="76" t="e">
        <v>#DIV/0!</v>
      </c>
      <c r="I103" s="6">
        <v>0</v>
      </c>
      <c r="J103" s="6">
        <v>0</v>
      </c>
      <c r="K103" s="6">
        <v>0</v>
      </c>
      <c r="L103" s="75">
        <v>0</v>
      </c>
      <c r="M103" s="76" t="e">
        <v>#DIV/0!</v>
      </c>
      <c r="N103" s="77" t="e">
        <v>#DIV/0!</v>
      </c>
      <c r="O103" s="76" t="e">
        <v>#DIV/0!</v>
      </c>
      <c r="P103" s="78">
        <v>0</v>
      </c>
      <c r="Q103" s="3"/>
      <c r="R103" s="3"/>
      <c r="S103" s="3">
        <v>0</v>
      </c>
      <c r="T103" s="238">
        <v>0</v>
      </c>
      <c r="U103" s="77">
        <v>0</v>
      </c>
      <c r="V103" s="77" t="e">
        <v>#DIV/0!</v>
      </c>
      <c r="W103" s="6"/>
      <c r="X103" s="146"/>
      <c r="Y103" s="130"/>
      <c r="Z103" s="3"/>
      <c r="AA103" s="3"/>
      <c r="AB103" s="3"/>
      <c r="AC103" s="4"/>
    </row>
    <row r="104" customFormat="1" ht="15.6" customHeight="1" spans="1:29">
      <c r="A104" s="10" t="s">
        <v>76</v>
      </c>
      <c r="B104" s="6" t="s">
        <v>78</v>
      </c>
      <c r="C104" s="6">
        <v>0</v>
      </c>
      <c r="D104" s="6">
        <v>0</v>
      </c>
      <c r="E104" s="75">
        <v>0</v>
      </c>
      <c r="F104" s="76" t="e">
        <v>#DIV/0!</v>
      </c>
      <c r="G104" s="77" t="e">
        <v>#DIV/0!</v>
      </c>
      <c r="H104" s="76" t="e">
        <v>#DIV/0!</v>
      </c>
      <c r="I104" s="6">
        <v>0</v>
      </c>
      <c r="J104" s="6">
        <v>0</v>
      </c>
      <c r="K104" s="6">
        <v>0</v>
      </c>
      <c r="L104" s="75">
        <v>0</v>
      </c>
      <c r="M104" s="76" t="e">
        <v>#DIV/0!</v>
      </c>
      <c r="N104" s="77" t="e">
        <v>#DIV/0!</v>
      </c>
      <c r="O104" s="76" t="e">
        <v>#DIV/0!</v>
      </c>
      <c r="P104" s="78">
        <v>0</v>
      </c>
      <c r="Q104" s="3"/>
      <c r="R104" s="3"/>
      <c r="S104" s="3">
        <v>0</v>
      </c>
      <c r="T104" s="238">
        <v>0</v>
      </c>
      <c r="U104" s="77">
        <v>0</v>
      </c>
      <c r="V104" s="77" t="e">
        <v>#DIV/0!</v>
      </c>
      <c r="W104" s="6"/>
      <c r="X104" s="146"/>
      <c r="Y104" s="130"/>
      <c r="Z104" s="3"/>
      <c r="AA104" s="3"/>
      <c r="AB104" s="3"/>
      <c r="AC104" s="4"/>
    </row>
    <row r="105" customFormat="1" ht="15.6" customHeight="1" spans="1:29">
      <c r="A105" s="10" t="s">
        <v>76</v>
      </c>
      <c r="B105" s="6" t="s">
        <v>79</v>
      </c>
      <c r="C105" s="6">
        <v>0</v>
      </c>
      <c r="D105" s="6">
        <v>-99</v>
      </c>
      <c r="E105" s="75">
        <v>0</v>
      </c>
      <c r="F105" s="76">
        <v>-1</v>
      </c>
      <c r="G105" s="77" t="e">
        <v>#DIV/0!</v>
      </c>
      <c r="H105" s="76" t="e">
        <v>#DIV/0!</v>
      </c>
      <c r="I105" s="6">
        <v>0</v>
      </c>
      <c r="J105" s="6">
        <v>0</v>
      </c>
      <c r="K105" s="6">
        <v>0</v>
      </c>
      <c r="L105" s="75">
        <v>0</v>
      </c>
      <c r="M105" s="76" t="e">
        <v>#DIV/0!</v>
      </c>
      <c r="N105" s="77" t="e">
        <v>#DIV/0!</v>
      </c>
      <c r="O105" s="76" t="e">
        <v>#DIV/0!</v>
      </c>
      <c r="P105" s="78">
        <v>0</v>
      </c>
      <c r="Q105" s="3"/>
      <c r="R105" s="3"/>
      <c r="S105" s="3">
        <v>0</v>
      </c>
      <c r="T105" s="238">
        <v>0</v>
      </c>
      <c r="U105" s="77">
        <v>0</v>
      </c>
      <c r="V105" s="77" t="e">
        <v>#DIV/0!</v>
      </c>
      <c r="W105" s="6"/>
      <c r="X105" s="146"/>
      <c r="Y105" s="130"/>
      <c r="Z105" s="3"/>
      <c r="AA105" s="3"/>
      <c r="AB105" s="3"/>
      <c r="AC105" s="4" t="s">
        <v>230</v>
      </c>
    </row>
    <row r="106" customFormat="1" ht="15.6" customHeight="1" spans="1:29">
      <c r="A106" s="10" t="s">
        <v>76</v>
      </c>
      <c r="B106" s="6" t="s">
        <v>80</v>
      </c>
      <c r="C106" s="6">
        <v>217</v>
      </c>
      <c r="D106" s="6">
        <v>106</v>
      </c>
      <c r="E106" s="75">
        <v>53967.25</v>
      </c>
      <c r="F106" s="76">
        <v>0.4844</v>
      </c>
      <c r="G106" s="77">
        <v>249</v>
      </c>
      <c r="H106" s="76">
        <v>-0.2409</v>
      </c>
      <c r="I106" s="6">
        <v>11935.7378</v>
      </c>
      <c r="J106" s="6">
        <v>4</v>
      </c>
      <c r="K106" s="6">
        <v>4</v>
      </c>
      <c r="L106" s="75">
        <v>1987.76</v>
      </c>
      <c r="M106" s="76" t="e">
        <v>#DIV/0!</v>
      </c>
      <c r="N106" s="77">
        <v>497</v>
      </c>
      <c r="O106" s="76" t="e">
        <v>#DIV/0!</v>
      </c>
      <c r="P106" s="78">
        <v>0</v>
      </c>
      <c r="Q106" s="3"/>
      <c r="R106" s="3"/>
      <c r="S106" s="3">
        <v>0</v>
      </c>
      <c r="T106" s="238">
        <v>221</v>
      </c>
      <c r="U106" s="77">
        <v>67891</v>
      </c>
      <c r="V106" s="77" t="e">
        <v>#DIV/0!</v>
      </c>
      <c r="W106" s="6"/>
      <c r="X106" s="146"/>
      <c r="Y106" s="130"/>
      <c r="Z106" s="3"/>
      <c r="AA106" s="3"/>
      <c r="AB106" s="3"/>
      <c r="AC106" s="4"/>
    </row>
    <row r="107" customFormat="1" ht="15.6" customHeight="1" spans="1:29">
      <c r="A107" s="10" t="s">
        <v>76</v>
      </c>
      <c r="B107" s="6" t="s">
        <v>81</v>
      </c>
      <c r="C107" s="6">
        <v>264</v>
      </c>
      <c r="D107" s="6">
        <v>250</v>
      </c>
      <c r="E107" s="75">
        <v>42313.51</v>
      </c>
      <c r="F107" s="76">
        <v>16.8801</v>
      </c>
      <c r="G107" s="77">
        <v>160</v>
      </c>
      <c r="H107" s="76">
        <v>-0.0533</v>
      </c>
      <c r="I107" s="6">
        <v>14520.8976</v>
      </c>
      <c r="J107" s="6">
        <v>0</v>
      </c>
      <c r="K107" s="6">
        <v>0</v>
      </c>
      <c r="L107" s="75">
        <v>0</v>
      </c>
      <c r="M107" s="76" t="e">
        <v>#DIV/0!</v>
      </c>
      <c r="N107" s="77" t="e">
        <v>#DIV/0!</v>
      </c>
      <c r="O107" s="76" t="e">
        <v>#DIV/0!</v>
      </c>
      <c r="P107" s="78">
        <v>0</v>
      </c>
      <c r="Q107" s="3"/>
      <c r="R107" s="3"/>
      <c r="S107" s="3">
        <v>0</v>
      </c>
      <c r="T107" s="238">
        <v>264</v>
      </c>
      <c r="U107" s="77">
        <v>56834</v>
      </c>
      <c r="V107" s="77" t="e">
        <v>#DIV/0!</v>
      </c>
      <c r="W107" s="6"/>
      <c r="X107" s="146"/>
      <c r="Y107" s="130"/>
      <c r="Z107" s="3"/>
      <c r="AA107" s="3"/>
      <c r="AB107" s="3"/>
      <c r="AC107" s="4"/>
    </row>
    <row r="108" customFormat="1" ht="15.6" customHeight="1" spans="1:29">
      <c r="A108" s="10" t="s">
        <v>76</v>
      </c>
      <c r="B108" s="6" t="s">
        <v>82</v>
      </c>
      <c r="C108" s="6">
        <v>217</v>
      </c>
      <c r="D108" s="6">
        <v>-68</v>
      </c>
      <c r="E108" s="75">
        <v>65234.21</v>
      </c>
      <c r="F108" s="76">
        <v>-0.1356</v>
      </c>
      <c r="G108" s="77">
        <v>301</v>
      </c>
      <c r="H108" s="76">
        <v>0.1358</v>
      </c>
      <c r="I108" s="6">
        <v>0</v>
      </c>
      <c r="J108" s="6">
        <v>0</v>
      </c>
      <c r="K108" s="6">
        <v>0</v>
      </c>
      <c r="L108" s="75">
        <v>0</v>
      </c>
      <c r="M108" s="76" t="e">
        <v>#DIV/0!</v>
      </c>
      <c r="N108" s="77" t="e">
        <v>#DIV/0!</v>
      </c>
      <c r="O108" s="76" t="e">
        <v>#DIV/0!</v>
      </c>
      <c r="P108" s="78">
        <v>0</v>
      </c>
      <c r="Q108" s="3"/>
      <c r="R108" s="3"/>
      <c r="S108" s="3">
        <v>0</v>
      </c>
      <c r="T108" s="238">
        <v>217</v>
      </c>
      <c r="U108" s="77">
        <v>65234</v>
      </c>
      <c r="V108" s="77" t="e">
        <v>#DIV/0!</v>
      </c>
      <c r="W108" s="6"/>
      <c r="X108" s="146"/>
      <c r="Y108" s="130"/>
      <c r="Z108" s="3"/>
      <c r="AA108" s="3"/>
      <c r="AB108" s="3"/>
      <c r="AC108" s="4"/>
    </row>
    <row r="109" s="164" customFormat="1" ht="15.6" customHeight="1" spans="1:29">
      <c r="A109" s="13" t="s">
        <v>83</v>
      </c>
      <c r="B109" s="12" t="s">
        <v>84</v>
      </c>
      <c r="C109" s="12">
        <v>62</v>
      </c>
      <c r="D109" s="12">
        <v>4</v>
      </c>
      <c r="E109" s="85">
        <v>23325.14</v>
      </c>
      <c r="F109" s="86">
        <v>-0.0248</v>
      </c>
      <c r="G109" s="87">
        <v>376</v>
      </c>
      <c r="H109" s="86">
        <v>-0.0874</v>
      </c>
      <c r="I109" s="12">
        <v>3490.1772</v>
      </c>
      <c r="J109" s="12">
        <v>0</v>
      </c>
      <c r="K109" s="12">
        <v>0</v>
      </c>
      <c r="L109" s="85">
        <v>0</v>
      </c>
      <c r="M109" s="86" t="e">
        <v>#DIV/0!</v>
      </c>
      <c r="N109" s="87" t="e">
        <v>#DIV/0!</v>
      </c>
      <c r="O109" s="86" t="e">
        <v>#DIV/0!</v>
      </c>
      <c r="P109" s="88">
        <v>0</v>
      </c>
      <c r="Q109" s="53"/>
      <c r="R109" s="53"/>
      <c r="S109" s="53">
        <v>0</v>
      </c>
      <c r="T109" s="12">
        <v>62</v>
      </c>
      <c r="U109" s="87">
        <v>26815</v>
      </c>
      <c r="V109" s="87" t="e">
        <v>#DIV/0!</v>
      </c>
      <c r="W109" s="12"/>
      <c r="X109" s="144"/>
      <c r="Y109" s="130"/>
      <c r="Z109" s="53"/>
      <c r="AA109" s="53"/>
      <c r="AB109" s="53"/>
      <c r="AC109" s="237"/>
    </row>
    <row r="110" s="164" customFormat="1" ht="15.6" customHeight="1" spans="1:29">
      <c r="A110" s="13" t="s">
        <v>85</v>
      </c>
      <c r="B110" s="12" t="s">
        <v>86</v>
      </c>
      <c r="C110" s="12">
        <v>741</v>
      </c>
      <c r="D110" s="12">
        <v>112</v>
      </c>
      <c r="E110" s="85">
        <v>277803.3</v>
      </c>
      <c r="F110" s="86">
        <v>0.2946</v>
      </c>
      <c r="G110" s="87">
        <v>375</v>
      </c>
      <c r="H110" s="86">
        <v>0.0997</v>
      </c>
      <c r="I110" s="12">
        <v>0</v>
      </c>
      <c r="J110" s="12">
        <v>0</v>
      </c>
      <c r="K110" s="12">
        <v>0</v>
      </c>
      <c r="L110" s="85">
        <v>0</v>
      </c>
      <c r="M110" s="86" t="e">
        <v>#DIV/0!</v>
      </c>
      <c r="N110" s="87" t="e">
        <v>#DIV/0!</v>
      </c>
      <c r="O110" s="86" t="e">
        <v>#DIV/0!</v>
      </c>
      <c r="P110" s="88">
        <v>0</v>
      </c>
      <c r="Q110" s="53"/>
      <c r="R110" s="53"/>
      <c r="S110" s="53">
        <v>0</v>
      </c>
      <c r="T110" s="12">
        <v>741</v>
      </c>
      <c r="U110" s="87">
        <v>277803</v>
      </c>
      <c r="V110" s="87" t="e">
        <v>#DIV/0!</v>
      </c>
      <c r="W110" s="12"/>
      <c r="X110" s="144"/>
      <c r="Y110" s="130"/>
      <c r="Z110" s="53"/>
      <c r="AA110" s="53"/>
      <c r="AB110" s="53"/>
      <c r="AC110" s="237"/>
    </row>
    <row r="111" s="164" customFormat="1" spans="1:29">
      <c r="A111" s="13" t="s">
        <v>83</v>
      </c>
      <c r="B111" s="12" t="s">
        <v>87</v>
      </c>
      <c r="C111" s="12">
        <v>0</v>
      </c>
      <c r="D111" s="12">
        <v>0</v>
      </c>
      <c r="E111" s="85">
        <v>0</v>
      </c>
      <c r="F111" s="86" t="e">
        <v>#DIV/0!</v>
      </c>
      <c r="G111" s="87" t="e">
        <v>#DIV/0!</v>
      </c>
      <c r="H111" s="86" t="e">
        <v>#DIV/0!</v>
      </c>
      <c r="I111" s="12">
        <v>0</v>
      </c>
      <c r="J111" s="12">
        <v>0</v>
      </c>
      <c r="K111" s="12">
        <v>0</v>
      </c>
      <c r="L111" s="85">
        <v>0</v>
      </c>
      <c r="M111" s="86" t="e">
        <v>#DIV/0!</v>
      </c>
      <c r="N111" s="87" t="e">
        <v>#DIV/0!</v>
      </c>
      <c r="O111" s="86" t="e">
        <v>#DIV/0!</v>
      </c>
      <c r="P111" s="88">
        <v>0</v>
      </c>
      <c r="Q111" s="53"/>
      <c r="R111" s="53"/>
      <c r="S111" s="53">
        <v>0</v>
      </c>
      <c r="T111" s="12">
        <v>0</v>
      </c>
      <c r="U111" s="87">
        <v>0</v>
      </c>
      <c r="V111" s="87" t="e">
        <v>#DIV/0!</v>
      </c>
      <c r="W111" s="12"/>
      <c r="X111" s="144"/>
      <c r="Y111" s="130"/>
      <c r="Z111" s="53"/>
      <c r="AA111" s="53"/>
      <c r="AB111" s="53"/>
      <c r="AC111" s="237"/>
    </row>
    <row r="112" s="164" customFormat="1" spans="1:29">
      <c r="A112" s="13" t="s">
        <v>83</v>
      </c>
      <c r="B112" s="12" t="s">
        <v>88</v>
      </c>
      <c r="C112" s="12">
        <v>16</v>
      </c>
      <c r="D112" s="12">
        <v>16</v>
      </c>
      <c r="E112" s="85">
        <v>2817.58</v>
      </c>
      <c r="F112" s="86" t="e">
        <v>#DIV/0!</v>
      </c>
      <c r="G112" s="87">
        <v>176</v>
      </c>
      <c r="H112" s="86" t="e">
        <v>#DIV/0!</v>
      </c>
      <c r="I112" s="12">
        <v>1199.92</v>
      </c>
      <c r="J112" s="12">
        <v>0</v>
      </c>
      <c r="K112" s="12">
        <v>0</v>
      </c>
      <c r="L112" s="85">
        <v>0</v>
      </c>
      <c r="M112" s="86" t="e">
        <v>#DIV/0!</v>
      </c>
      <c r="N112" s="87" t="e">
        <v>#DIV/0!</v>
      </c>
      <c r="O112" s="86" t="e">
        <v>#DIV/0!</v>
      </c>
      <c r="P112" s="88">
        <v>0</v>
      </c>
      <c r="Q112" s="53"/>
      <c r="R112" s="53"/>
      <c r="S112" s="53">
        <v>0</v>
      </c>
      <c r="T112" s="12">
        <v>16</v>
      </c>
      <c r="U112" s="87">
        <v>4018</v>
      </c>
      <c r="V112" s="87" t="e">
        <v>#DIV/0!</v>
      </c>
      <c r="W112" s="12"/>
      <c r="X112" s="144"/>
      <c r="Y112" s="130"/>
      <c r="Z112" s="53"/>
      <c r="AA112" s="53"/>
      <c r="AB112" s="53"/>
      <c r="AC112" s="237"/>
    </row>
    <row r="113" s="164" customFormat="1" spans="1:29">
      <c r="A113" s="13" t="s">
        <v>83</v>
      </c>
      <c r="B113" s="12" t="s">
        <v>89</v>
      </c>
      <c r="C113" s="12">
        <v>0</v>
      </c>
      <c r="D113" s="12">
        <v>0</v>
      </c>
      <c r="E113" s="85">
        <v>0</v>
      </c>
      <c r="F113" s="86" t="e">
        <v>#DIV/0!</v>
      </c>
      <c r="G113" s="87" t="e">
        <v>#DIV/0!</v>
      </c>
      <c r="H113" s="86" t="e">
        <v>#DIV/0!</v>
      </c>
      <c r="I113" s="12">
        <v>0</v>
      </c>
      <c r="J113" s="12">
        <v>0</v>
      </c>
      <c r="K113" s="12">
        <v>0</v>
      </c>
      <c r="L113" s="85">
        <v>0</v>
      </c>
      <c r="M113" s="86" t="e">
        <v>#DIV/0!</v>
      </c>
      <c r="N113" s="87" t="e">
        <v>#DIV/0!</v>
      </c>
      <c r="O113" s="86" t="e">
        <v>#DIV/0!</v>
      </c>
      <c r="P113" s="88">
        <v>0</v>
      </c>
      <c r="Q113" s="53"/>
      <c r="R113" s="53"/>
      <c r="S113" s="53">
        <v>0</v>
      </c>
      <c r="T113" s="12">
        <v>0</v>
      </c>
      <c r="U113" s="87">
        <v>0</v>
      </c>
      <c r="V113" s="87" t="e">
        <v>#DIV/0!</v>
      </c>
      <c r="W113" s="12"/>
      <c r="X113" s="144"/>
      <c r="Y113" s="130"/>
      <c r="Z113" s="53"/>
      <c r="AA113" s="53"/>
      <c r="AB113" s="53"/>
      <c r="AC113" s="237"/>
    </row>
    <row r="114" s="164" customFormat="1" spans="1:29">
      <c r="A114" s="13" t="s">
        <v>83</v>
      </c>
      <c r="B114" s="12" t="s">
        <v>90</v>
      </c>
      <c r="C114" s="12">
        <v>0</v>
      </c>
      <c r="D114" s="12">
        <v>0</v>
      </c>
      <c r="E114" s="85">
        <v>0</v>
      </c>
      <c r="F114" s="86" t="e">
        <v>#DIV/0!</v>
      </c>
      <c r="G114" s="87" t="e">
        <v>#DIV/0!</v>
      </c>
      <c r="H114" s="86" t="e">
        <v>#DIV/0!</v>
      </c>
      <c r="I114" s="12">
        <v>0</v>
      </c>
      <c r="J114" s="12">
        <v>0</v>
      </c>
      <c r="K114" s="12">
        <v>0</v>
      </c>
      <c r="L114" s="85">
        <v>0</v>
      </c>
      <c r="M114" s="86" t="e">
        <v>#DIV/0!</v>
      </c>
      <c r="N114" s="87" t="e">
        <v>#DIV/0!</v>
      </c>
      <c r="O114" s="86" t="e">
        <v>#DIV/0!</v>
      </c>
      <c r="P114" s="88">
        <v>0</v>
      </c>
      <c r="Q114" s="53"/>
      <c r="R114" s="53"/>
      <c r="S114" s="53">
        <v>0</v>
      </c>
      <c r="T114" s="12">
        <v>0</v>
      </c>
      <c r="U114" s="87">
        <v>0</v>
      </c>
      <c r="V114" s="87" t="e">
        <v>#DIV/0!</v>
      </c>
      <c r="W114" s="12"/>
      <c r="X114" s="144"/>
      <c r="Y114" s="130"/>
      <c r="Z114" s="53"/>
      <c r="AA114" s="53"/>
      <c r="AB114" s="53"/>
      <c r="AC114" s="237"/>
    </row>
    <row r="115" s="164" customFormat="1" spans="1:29">
      <c r="A115" s="13" t="s">
        <v>83</v>
      </c>
      <c r="B115" s="12" t="s">
        <v>91</v>
      </c>
      <c r="C115" s="12">
        <v>519</v>
      </c>
      <c r="D115" s="12">
        <v>151</v>
      </c>
      <c r="E115" s="85">
        <v>103005.2</v>
      </c>
      <c r="F115" s="86">
        <v>0.918</v>
      </c>
      <c r="G115" s="87">
        <v>198</v>
      </c>
      <c r="H115" s="86">
        <v>0.3562</v>
      </c>
      <c r="I115" s="12">
        <v>32964.9082</v>
      </c>
      <c r="J115" s="12">
        <v>0</v>
      </c>
      <c r="K115" s="12">
        <v>0</v>
      </c>
      <c r="L115" s="85">
        <v>0</v>
      </c>
      <c r="M115" s="86" t="e">
        <v>#DIV/0!</v>
      </c>
      <c r="N115" s="87" t="e">
        <v>#DIV/0!</v>
      </c>
      <c r="O115" s="86" t="e">
        <v>#DIV/0!</v>
      </c>
      <c r="P115" s="88">
        <v>0</v>
      </c>
      <c r="Q115" s="53"/>
      <c r="R115" s="53"/>
      <c r="S115" s="53">
        <v>0</v>
      </c>
      <c r="T115" s="12">
        <v>519</v>
      </c>
      <c r="U115" s="87">
        <v>135970</v>
      </c>
      <c r="V115" s="87" t="e">
        <v>#DIV/0!</v>
      </c>
      <c r="W115" s="12"/>
      <c r="X115" s="144"/>
      <c r="Y115" s="130"/>
      <c r="Z115" s="53"/>
      <c r="AA115" s="53"/>
      <c r="AB115" s="53"/>
      <c r="AC115" s="237"/>
    </row>
    <row r="116" s="164" customFormat="1" spans="1:29">
      <c r="A116" s="13" t="s">
        <v>83</v>
      </c>
      <c r="B116" s="12" t="s">
        <v>92</v>
      </c>
      <c r="C116" s="12">
        <v>0</v>
      </c>
      <c r="D116" s="12">
        <v>0</v>
      </c>
      <c r="E116" s="85">
        <v>0</v>
      </c>
      <c r="F116" s="86" t="e">
        <v>#DIV/0!</v>
      </c>
      <c r="G116" s="87" t="e">
        <v>#DIV/0!</v>
      </c>
      <c r="H116" s="86" t="e">
        <v>#DIV/0!</v>
      </c>
      <c r="I116" s="12">
        <v>0</v>
      </c>
      <c r="J116" s="12">
        <v>0</v>
      </c>
      <c r="K116" s="12">
        <v>0</v>
      </c>
      <c r="L116" s="85">
        <v>0</v>
      </c>
      <c r="M116" s="86" t="e">
        <v>#DIV/0!</v>
      </c>
      <c r="N116" s="87" t="e">
        <v>#DIV/0!</v>
      </c>
      <c r="O116" s="86" t="e">
        <v>#DIV/0!</v>
      </c>
      <c r="P116" s="88">
        <v>0</v>
      </c>
      <c r="Q116" s="53"/>
      <c r="R116" s="53"/>
      <c r="S116" s="53">
        <v>0</v>
      </c>
      <c r="T116" s="12">
        <v>0</v>
      </c>
      <c r="U116" s="87">
        <v>0</v>
      </c>
      <c r="V116" s="87" t="e">
        <v>#DIV/0!</v>
      </c>
      <c r="W116" s="12"/>
      <c r="X116" s="144"/>
      <c r="Y116" s="130"/>
      <c r="Z116" s="53"/>
      <c r="AA116" s="53"/>
      <c r="AB116" s="53"/>
      <c r="AC116" s="237"/>
    </row>
    <row r="117" s="164" customFormat="1" spans="1:29">
      <c r="A117" s="13" t="s">
        <v>83</v>
      </c>
      <c r="B117" s="12" t="s">
        <v>93</v>
      </c>
      <c r="C117" s="12">
        <v>0</v>
      </c>
      <c r="D117" s="12">
        <v>0</v>
      </c>
      <c r="E117" s="85">
        <v>0</v>
      </c>
      <c r="F117" s="86" t="e">
        <v>#DIV/0!</v>
      </c>
      <c r="G117" s="87" t="e">
        <v>#DIV/0!</v>
      </c>
      <c r="H117" s="86" t="e">
        <v>#DIV/0!</v>
      </c>
      <c r="I117" s="12">
        <v>0</v>
      </c>
      <c r="J117" s="12">
        <v>0</v>
      </c>
      <c r="K117" s="12">
        <v>0</v>
      </c>
      <c r="L117" s="85">
        <v>0</v>
      </c>
      <c r="M117" s="86" t="e">
        <v>#DIV/0!</v>
      </c>
      <c r="N117" s="87" t="e">
        <v>#DIV/0!</v>
      </c>
      <c r="O117" s="86" t="e">
        <v>#DIV/0!</v>
      </c>
      <c r="P117" s="88">
        <v>0</v>
      </c>
      <c r="Q117" s="53"/>
      <c r="R117" s="53"/>
      <c r="S117" s="53">
        <v>0</v>
      </c>
      <c r="T117" s="12">
        <v>0</v>
      </c>
      <c r="U117" s="87">
        <v>0</v>
      </c>
      <c r="V117" s="87" t="e">
        <v>#DIV/0!</v>
      </c>
      <c r="W117" s="12"/>
      <c r="X117" s="144"/>
      <c r="Y117" s="130"/>
      <c r="Z117" s="53"/>
      <c r="AA117" s="53"/>
      <c r="AB117" s="53"/>
      <c r="AC117" s="237"/>
    </row>
    <row r="118" s="164" customFormat="1" spans="1:29">
      <c r="A118" s="13" t="s">
        <v>83</v>
      </c>
      <c r="B118" s="12" t="s">
        <v>94</v>
      </c>
      <c r="C118" s="12">
        <v>1</v>
      </c>
      <c r="D118" s="12">
        <v>1</v>
      </c>
      <c r="E118" s="85">
        <v>35.61</v>
      </c>
      <c r="F118" s="86" t="e">
        <v>#DIV/0!</v>
      </c>
      <c r="G118" s="87">
        <v>36</v>
      </c>
      <c r="H118" s="86" t="e">
        <v>#DIV/0!</v>
      </c>
      <c r="I118" s="12">
        <v>55.0034</v>
      </c>
      <c r="J118" s="12">
        <v>0</v>
      </c>
      <c r="K118" s="12">
        <v>0</v>
      </c>
      <c r="L118" s="85">
        <v>0</v>
      </c>
      <c r="M118" s="86" t="e">
        <v>#DIV/0!</v>
      </c>
      <c r="N118" s="87" t="e">
        <v>#DIV/0!</v>
      </c>
      <c r="O118" s="86" t="e">
        <v>#DIV/0!</v>
      </c>
      <c r="P118" s="88">
        <v>0</v>
      </c>
      <c r="Q118" s="53"/>
      <c r="R118" s="53"/>
      <c r="S118" s="53">
        <v>0</v>
      </c>
      <c r="T118" s="12">
        <v>1</v>
      </c>
      <c r="U118" s="87">
        <v>91</v>
      </c>
      <c r="V118" s="87" t="e">
        <v>#DIV/0!</v>
      </c>
      <c r="W118" s="12"/>
      <c r="X118" s="144"/>
      <c r="Y118" s="130"/>
      <c r="Z118" s="53"/>
      <c r="AA118" s="53"/>
      <c r="AB118" s="53"/>
      <c r="AC118" s="237"/>
    </row>
    <row r="119" s="164" customFormat="1" spans="1:29">
      <c r="A119" s="13" t="s">
        <v>83</v>
      </c>
      <c r="B119" s="12" t="s">
        <v>95</v>
      </c>
      <c r="C119" s="12">
        <v>19</v>
      </c>
      <c r="D119" s="12">
        <v>-16</v>
      </c>
      <c r="E119" s="85">
        <v>4100.97</v>
      </c>
      <c r="F119" s="86">
        <v>-0.5041</v>
      </c>
      <c r="G119" s="87">
        <v>216</v>
      </c>
      <c r="H119" s="86">
        <v>-0.0847</v>
      </c>
      <c r="I119" s="12">
        <v>1224.989</v>
      </c>
      <c r="J119" s="12">
        <v>0</v>
      </c>
      <c r="K119" s="12">
        <v>0</v>
      </c>
      <c r="L119" s="85">
        <v>0</v>
      </c>
      <c r="M119" s="86" t="e">
        <v>#DIV/0!</v>
      </c>
      <c r="N119" s="87" t="e">
        <v>#DIV/0!</v>
      </c>
      <c r="O119" s="86" t="e">
        <v>#DIV/0!</v>
      </c>
      <c r="P119" s="88">
        <v>0</v>
      </c>
      <c r="Q119" s="53"/>
      <c r="R119" s="53"/>
      <c r="S119" s="53">
        <v>0</v>
      </c>
      <c r="T119" s="12">
        <v>19</v>
      </c>
      <c r="U119" s="87">
        <v>5326</v>
      </c>
      <c r="V119" s="87" t="e">
        <v>#DIV/0!</v>
      </c>
      <c r="W119" s="12"/>
      <c r="X119" s="144"/>
      <c r="Y119" s="130"/>
      <c r="Z119" s="53"/>
      <c r="AA119" s="53"/>
      <c r="AB119" s="53"/>
      <c r="AC119" s="237"/>
    </row>
    <row r="120" s="164" customFormat="1" spans="1:29">
      <c r="A120" s="13" t="s">
        <v>83</v>
      </c>
      <c r="B120" s="12" t="s">
        <v>96</v>
      </c>
      <c r="C120" s="12">
        <v>0</v>
      </c>
      <c r="D120" s="12">
        <v>-1</v>
      </c>
      <c r="E120" s="85">
        <v>0</v>
      </c>
      <c r="F120" s="86">
        <v>-1</v>
      </c>
      <c r="G120" s="87" t="e">
        <v>#DIV/0!</v>
      </c>
      <c r="H120" s="86" t="e">
        <v>#DIV/0!</v>
      </c>
      <c r="I120" s="12">
        <v>0</v>
      </c>
      <c r="J120" s="12">
        <v>51</v>
      </c>
      <c r="K120" s="12">
        <v>30</v>
      </c>
      <c r="L120" s="85">
        <v>13448.51</v>
      </c>
      <c r="M120" s="86">
        <v>1.8449</v>
      </c>
      <c r="N120" s="87">
        <v>264</v>
      </c>
      <c r="O120" s="86">
        <v>0.1733</v>
      </c>
      <c r="P120" s="88">
        <v>0</v>
      </c>
      <c r="Q120" s="53"/>
      <c r="R120" s="53"/>
      <c r="S120" s="53">
        <v>0</v>
      </c>
      <c r="T120" s="12">
        <v>51</v>
      </c>
      <c r="U120" s="87">
        <v>13449</v>
      </c>
      <c r="V120" s="87" t="e">
        <v>#DIV/0!</v>
      </c>
      <c r="W120" s="12"/>
      <c r="X120" s="144"/>
      <c r="Y120" s="130"/>
      <c r="Z120" s="53"/>
      <c r="AA120" s="53"/>
      <c r="AB120" s="53"/>
      <c r="AC120" s="237"/>
    </row>
    <row r="121" s="164" customFormat="1" spans="1:29">
      <c r="A121" s="13" t="s">
        <v>55</v>
      </c>
      <c r="B121" s="12" t="s">
        <v>97</v>
      </c>
      <c r="C121" s="12">
        <v>130</v>
      </c>
      <c r="D121" s="12">
        <v>-22</v>
      </c>
      <c r="E121" s="85">
        <v>31129.95</v>
      </c>
      <c r="F121" s="86">
        <v>-0.1001</v>
      </c>
      <c r="G121" s="87">
        <v>239</v>
      </c>
      <c r="H121" s="86">
        <v>0.0482</v>
      </c>
      <c r="I121" s="12">
        <v>0</v>
      </c>
      <c r="J121" s="12">
        <v>0</v>
      </c>
      <c r="K121" s="12">
        <v>0</v>
      </c>
      <c r="L121" s="85">
        <v>0</v>
      </c>
      <c r="M121" s="86" t="e">
        <v>#DIV/0!</v>
      </c>
      <c r="N121" s="87" t="e">
        <v>#DIV/0!</v>
      </c>
      <c r="O121" s="86" t="e">
        <v>#DIV/0!</v>
      </c>
      <c r="P121" s="88">
        <v>0</v>
      </c>
      <c r="Q121" s="53"/>
      <c r="R121" s="53"/>
      <c r="S121" s="53">
        <v>0</v>
      </c>
      <c r="T121" s="12">
        <v>130</v>
      </c>
      <c r="U121" s="87">
        <v>31130</v>
      </c>
      <c r="V121" s="87" t="e">
        <v>#DIV/0!</v>
      </c>
      <c r="W121" s="12"/>
      <c r="X121" s="144"/>
      <c r="Y121" s="130"/>
      <c r="Z121" s="53"/>
      <c r="AA121" s="53"/>
      <c r="AB121" s="53"/>
      <c r="AC121" s="237" t="s">
        <v>231</v>
      </c>
    </row>
    <row r="122" customFormat="1" ht="15.6" customHeight="1" spans="1:29">
      <c r="A122" s="239" t="s">
        <v>98</v>
      </c>
      <c r="B122" s="6" t="s">
        <v>99</v>
      </c>
      <c r="C122" s="6">
        <v>97</v>
      </c>
      <c r="D122" s="6">
        <v>-19</v>
      </c>
      <c r="E122" s="75">
        <v>12716.4</v>
      </c>
      <c r="F122" s="76">
        <v>-0.049</v>
      </c>
      <c r="G122" s="77">
        <v>131</v>
      </c>
      <c r="H122" s="76">
        <v>0.1391</v>
      </c>
      <c r="I122" s="6">
        <v>6254.9434</v>
      </c>
      <c r="J122" s="6">
        <v>0</v>
      </c>
      <c r="K122" s="6">
        <v>0</v>
      </c>
      <c r="L122" s="75">
        <v>0</v>
      </c>
      <c r="M122" s="76" t="e">
        <v>#DIV/0!</v>
      </c>
      <c r="N122" s="77" t="e">
        <v>#DIV/0!</v>
      </c>
      <c r="O122" s="76" t="e">
        <v>#DIV/0!</v>
      </c>
      <c r="P122" s="78">
        <v>0</v>
      </c>
      <c r="Q122" s="3"/>
      <c r="R122" s="3"/>
      <c r="S122" s="3">
        <v>0</v>
      </c>
      <c r="T122" s="238">
        <v>97</v>
      </c>
      <c r="U122" s="77">
        <v>18971</v>
      </c>
      <c r="V122" s="77" t="e">
        <v>#DIV/0!</v>
      </c>
      <c r="W122" s="6"/>
      <c r="X122" s="146"/>
      <c r="Y122" s="130"/>
      <c r="Z122" s="3"/>
      <c r="AA122" s="3"/>
      <c r="AB122" s="3"/>
      <c r="AC122" s="4"/>
    </row>
    <row r="123" customFormat="1" ht="15.6" customHeight="1" spans="1:29">
      <c r="A123" s="239" t="s">
        <v>98</v>
      </c>
      <c r="B123" s="6" t="s">
        <v>100</v>
      </c>
      <c r="C123" s="6">
        <v>84</v>
      </c>
      <c r="D123" s="6">
        <v>15</v>
      </c>
      <c r="E123" s="75">
        <v>15764.54</v>
      </c>
      <c r="F123" s="76">
        <v>0.5568</v>
      </c>
      <c r="G123" s="77">
        <v>188</v>
      </c>
      <c r="H123" s="76">
        <v>0.2789</v>
      </c>
      <c r="I123" s="6">
        <v>4900.168</v>
      </c>
      <c r="J123" s="6">
        <v>0</v>
      </c>
      <c r="K123" s="6">
        <v>0</v>
      </c>
      <c r="L123" s="75">
        <v>0</v>
      </c>
      <c r="M123" s="76" t="e">
        <v>#DIV/0!</v>
      </c>
      <c r="N123" s="77" t="e">
        <v>#DIV/0!</v>
      </c>
      <c r="O123" s="76" t="e">
        <v>#DIV/0!</v>
      </c>
      <c r="P123" s="78">
        <v>0</v>
      </c>
      <c r="Q123" s="3"/>
      <c r="R123" s="3"/>
      <c r="S123" s="3">
        <v>0</v>
      </c>
      <c r="T123" s="238">
        <v>84</v>
      </c>
      <c r="U123" s="77">
        <v>20665</v>
      </c>
      <c r="V123" s="77" t="e">
        <v>#DIV/0!</v>
      </c>
      <c r="W123" s="6"/>
      <c r="X123" s="146"/>
      <c r="Y123" s="130"/>
      <c r="Z123" s="3"/>
      <c r="AA123" s="3"/>
      <c r="AB123" s="3"/>
      <c r="AC123" s="4"/>
    </row>
    <row r="124" customFormat="1" ht="15.6" customHeight="1" spans="1:29">
      <c r="A124" s="239" t="s">
        <v>98</v>
      </c>
      <c r="B124" s="6" t="s">
        <v>101</v>
      </c>
      <c r="C124" s="6">
        <v>0</v>
      </c>
      <c r="D124" s="6">
        <v>0</v>
      </c>
      <c r="E124" s="75">
        <v>0</v>
      </c>
      <c r="F124" s="76" t="e">
        <v>#DIV/0!</v>
      </c>
      <c r="G124" s="77" t="e">
        <v>#DIV/0!</v>
      </c>
      <c r="H124" s="76" t="e">
        <v>#DIV/0!</v>
      </c>
      <c r="I124" s="6">
        <v>0</v>
      </c>
      <c r="J124" s="6">
        <v>0</v>
      </c>
      <c r="K124" s="6">
        <v>0</v>
      </c>
      <c r="L124" s="75">
        <v>0</v>
      </c>
      <c r="M124" s="76" t="e">
        <v>#DIV/0!</v>
      </c>
      <c r="N124" s="77" t="e">
        <v>#DIV/0!</v>
      </c>
      <c r="O124" s="76" t="e">
        <v>#DIV/0!</v>
      </c>
      <c r="P124" s="78">
        <v>0</v>
      </c>
      <c r="Q124" s="3"/>
      <c r="R124" s="3"/>
      <c r="S124" s="3">
        <v>0</v>
      </c>
      <c r="T124" s="238">
        <v>0</v>
      </c>
      <c r="U124" s="77">
        <v>0</v>
      </c>
      <c r="V124" s="77" t="e">
        <v>#DIV/0!</v>
      </c>
      <c r="W124" s="6"/>
      <c r="X124" s="146"/>
      <c r="Y124" s="130"/>
      <c r="Z124" s="3"/>
      <c r="AA124" s="3"/>
      <c r="AB124" s="3"/>
      <c r="AC124" s="4" t="s">
        <v>232</v>
      </c>
    </row>
    <row r="125" customFormat="1" spans="1:29">
      <c r="A125" s="239" t="s">
        <v>98</v>
      </c>
      <c r="B125" s="6" t="s">
        <v>102</v>
      </c>
      <c r="C125" s="6">
        <v>7</v>
      </c>
      <c r="D125" s="6">
        <v>1</v>
      </c>
      <c r="E125" s="75">
        <v>1036.26</v>
      </c>
      <c r="F125" s="76">
        <v>-0.1208</v>
      </c>
      <c r="G125" s="77">
        <v>148</v>
      </c>
      <c r="H125" s="76">
        <v>-0.2449</v>
      </c>
      <c r="I125" s="6">
        <v>524.965</v>
      </c>
      <c r="J125" s="6">
        <v>0</v>
      </c>
      <c r="K125" s="6">
        <v>0</v>
      </c>
      <c r="L125" s="75">
        <v>0</v>
      </c>
      <c r="M125" s="76" t="e">
        <v>#DIV/0!</v>
      </c>
      <c r="N125" s="77" t="e">
        <v>#DIV/0!</v>
      </c>
      <c r="O125" s="76" t="e">
        <v>#DIV/0!</v>
      </c>
      <c r="P125" s="78">
        <v>0</v>
      </c>
      <c r="Q125" s="3"/>
      <c r="R125" s="3"/>
      <c r="S125" s="3">
        <v>0</v>
      </c>
      <c r="T125" s="238">
        <v>7</v>
      </c>
      <c r="U125" s="77">
        <v>1561</v>
      </c>
      <c r="V125" s="77" t="e">
        <v>#DIV/0!</v>
      </c>
      <c r="W125" s="6"/>
      <c r="X125" s="146"/>
      <c r="Y125" s="130"/>
      <c r="Z125" s="3"/>
      <c r="AA125" s="3"/>
      <c r="AB125" s="3"/>
      <c r="AC125" s="4"/>
    </row>
    <row r="126" customFormat="1" spans="1:29">
      <c r="A126" s="239" t="s">
        <v>98</v>
      </c>
      <c r="B126" s="6" t="s">
        <v>103</v>
      </c>
      <c r="C126" s="6">
        <v>8</v>
      </c>
      <c r="D126" s="6">
        <v>-42</v>
      </c>
      <c r="E126" s="75">
        <v>461.18</v>
      </c>
      <c r="F126" s="76">
        <v>-0.8998</v>
      </c>
      <c r="G126" s="77">
        <v>58</v>
      </c>
      <c r="H126" s="76">
        <v>-0.3696</v>
      </c>
      <c r="I126" s="6">
        <v>519.9936</v>
      </c>
      <c r="J126" s="6">
        <v>0</v>
      </c>
      <c r="K126" s="6">
        <v>0</v>
      </c>
      <c r="L126" s="75">
        <v>0</v>
      </c>
      <c r="M126" s="76" t="e">
        <v>#DIV/0!</v>
      </c>
      <c r="N126" s="77" t="e">
        <v>#DIV/0!</v>
      </c>
      <c r="O126" s="76" t="e">
        <v>#DIV/0!</v>
      </c>
      <c r="P126" s="78">
        <v>0</v>
      </c>
      <c r="Q126" s="3"/>
      <c r="R126" s="3"/>
      <c r="S126" s="3">
        <v>0</v>
      </c>
      <c r="T126" s="238">
        <v>8</v>
      </c>
      <c r="U126" s="77">
        <v>981</v>
      </c>
      <c r="V126" s="77" t="e">
        <v>#DIV/0!</v>
      </c>
      <c r="W126" s="6"/>
      <c r="X126" s="146"/>
      <c r="Y126" s="130"/>
      <c r="Z126" s="3"/>
      <c r="AA126" s="3"/>
      <c r="AB126" s="3"/>
      <c r="AC126" s="4"/>
    </row>
    <row r="127" customFormat="1" ht="15.6" customHeight="1" spans="1:29">
      <c r="A127" s="239" t="s">
        <v>98</v>
      </c>
      <c r="B127" s="6" t="s">
        <v>104</v>
      </c>
      <c r="C127" s="6">
        <v>5</v>
      </c>
      <c r="D127" s="6">
        <v>3</v>
      </c>
      <c r="E127" s="75">
        <v>1905.95</v>
      </c>
      <c r="F127" s="76">
        <v>3.9915</v>
      </c>
      <c r="G127" s="77">
        <v>381</v>
      </c>
      <c r="H127" s="76">
        <v>0.9948</v>
      </c>
      <c r="I127" s="6">
        <v>374.975</v>
      </c>
      <c r="J127" s="6">
        <v>0</v>
      </c>
      <c r="K127" s="6">
        <v>0</v>
      </c>
      <c r="L127" s="75">
        <v>0</v>
      </c>
      <c r="M127" s="76" t="e">
        <v>#DIV/0!</v>
      </c>
      <c r="N127" s="77" t="e">
        <v>#DIV/0!</v>
      </c>
      <c r="O127" s="76" t="e">
        <v>#DIV/0!</v>
      </c>
      <c r="P127" s="78">
        <v>0</v>
      </c>
      <c r="Q127" s="3"/>
      <c r="R127" s="3"/>
      <c r="S127" s="3">
        <v>0</v>
      </c>
      <c r="T127" s="238">
        <v>5</v>
      </c>
      <c r="U127" s="77">
        <v>2281</v>
      </c>
      <c r="V127" s="77" t="e">
        <v>#DIV/0!</v>
      </c>
      <c r="W127" s="6"/>
      <c r="X127" s="146"/>
      <c r="Y127" s="130"/>
      <c r="Z127" s="3"/>
      <c r="AA127" s="3"/>
      <c r="AB127" s="3"/>
      <c r="AC127" s="4"/>
    </row>
    <row r="128" customFormat="1" ht="15.6" customHeight="1" spans="1:29">
      <c r="A128" s="239" t="s">
        <v>98</v>
      </c>
      <c r="B128" s="6" t="s">
        <v>105</v>
      </c>
      <c r="C128" s="6">
        <v>89</v>
      </c>
      <c r="D128" s="6">
        <v>81</v>
      </c>
      <c r="E128" s="75">
        <v>12407.65</v>
      </c>
      <c r="F128" s="76">
        <v>10.9055</v>
      </c>
      <c r="G128" s="77">
        <v>139</v>
      </c>
      <c r="H128" s="76">
        <v>0.0692</v>
      </c>
      <c r="I128" s="6">
        <v>6654.5634</v>
      </c>
      <c r="J128" s="6">
        <v>0</v>
      </c>
      <c r="K128" s="6">
        <v>0</v>
      </c>
      <c r="L128" s="75">
        <v>0</v>
      </c>
      <c r="M128" s="76" t="e">
        <v>#DIV/0!</v>
      </c>
      <c r="N128" s="77" t="e">
        <v>#DIV/0!</v>
      </c>
      <c r="O128" s="76" t="e">
        <v>#DIV/0!</v>
      </c>
      <c r="P128" s="78">
        <v>0</v>
      </c>
      <c r="Q128" s="3"/>
      <c r="R128" s="3"/>
      <c r="S128" s="3">
        <v>0</v>
      </c>
      <c r="T128" s="238">
        <v>89</v>
      </c>
      <c r="U128" s="77">
        <v>19062</v>
      </c>
      <c r="V128" s="77" t="e">
        <v>#DIV/0!</v>
      </c>
      <c r="W128" s="6"/>
      <c r="X128" s="146"/>
      <c r="Y128" s="130"/>
      <c r="Z128" s="3"/>
      <c r="AA128" s="3"/>
      <c r="AB128" s="3"/>
      <c r="AC128" s="4"/>
    </row>
    <row r="129" customFormat="1" ht="15.6" customHeight="1" spans="1:29">
      <c r="A129" s="239" t="s">
        <v>98</v>
      </c>
      <c r="B129" s="6" t="s">
        <v>106</v>
      </c>
      <c r="C129" s="6">
        <v>22</v>
      </c>
      <c r="D129" s="6">
        <v>-31</v>
      </c>
      <c r="E129" s="75">
        <v>1111.4</v>
      </c>
      <c r="F129" s="76">
        <v>-0.6791</v>
      </c>
      <c r="G129" s="77">
        <v>51</v>
      </c>
      <c r="H129" s="76">
        <v>-0.2154</v>
      </c>
      <c r="I129" s="6">
        <v>1649.89</v>
      </c>
      <c r="J129" s="6">
        <v>0</v>
      </c>
      <c r="K129" s="6">
        <v>0</v>
      </c>
      <c r="L129" s="75">
        <v>0</v>
      </c>
      <c r="M129" s="76" t="e">
        <v>#DIV/0!</v>
      </c>
      <c r="N129" s="77" t="e">
        <v>#DIV/0!</v>
      </c>
      <c r="O129" s="76" t="e">
        <v>#DIV/0!</v>
      </c>
      <c r="P129" s="78">
        <v>0</v>
      </c>
      <c r="Q129" s="3"/>
      <c r="R129" s="3"/>
      <c r="S129" s="3">
        <v>0</v>
      </c>
      <c r="T129" s="238">
        <v>22</v>
      </c>
      <c r="U129" s="77">
        <v>2761</v>
      </c>
      <c r="V129" s="77" t="e">
        <v>#DIV/0!</v>
      </c>
      <c r="W129" s="6"/>
      <c r="X129" s="146"/>
      <c r="Y129" s="130"/>
      <c r="Z129" s="3"/>
      <c r="AA129" s="3"/>
      <c r="AB129" s="3"/>
      <c r="AC129" s="4"/>
    </row>
    <row r="130" customFormat="1" ht="15.6" customHeight="1" spans="1:29">
      <c r="A130" s="239" t="s">
        <v>98</v>
      </c>
      <c r="B130" s="6" t="s">
        <v>107</v>
      </c>
      <c r="C130" s="6">
        <v>28</v>
      </c>
      <c r="D130" s="6">
        <v>4</v>
      </c>
      <c r="E130" s="75">
        <v>3824.79</v>
      </c>
      <c r="F130" s="76">
        <v>0.3721</v>
      </c>
      <c r="G130" s="77">
        <v>137</v>
      </c>
      <c r="H130" s="76">
        <v>0.181</v>
      </c>
      <c r="I130" s="6">
        <v>1879.9524</v>
      </c>
      <c r="J130" s="6">
        <v>0</v>
      </c>
      <c r="K130" s="6">
        <v>0</v>
      </c>
      <c r="L130" s="75">
        <v>0</v>
      </c>
      <c r="M130" s="76" t="e">
        <v>#DIV/0!</v>
      </c>
      <c r="N130" s="77" t="e">
        <v>#DIV/0!</v>
      </c>
      <c r="O130" s="76" t="e">
        <v>#DIV/0!</v>
      </c>
      <c r="P130" s="78">
        <v>0</v>
      </c>
      <c r="Q130" s="3"/>
      <c r="R130" s="3"/>
      <c r="S130" s="3">
        <v>0</v>
      </c>
      <c r="T130" s="238">
        <v>28</v>
      </c>
      <c r="U130" s="77">
        <v>5705</v>
      </c>
      <c r="V130" s="77" t="e">
        <v>#DIV/0!</v>
      </c>
      <c r="W130" s="6"/>
      <c r="X130" s="146"/>
      <c r="Y130" s="130"/>
      <c r="Z130" s="3"/>
      <c r="AA130" s="3"/>
      <c r="AB130" s="3"/>
      <c r="AC130" s="4"/>
    </row>
    <row r="131" s="164" customFormat="1" ht="15.6" customHeight="1" spans="1:29">
      <c r="A131" s="11" t="s">
        <v>108</v>
      </c>
      <c r="B131" s="12" t="s">
        <v>109</v>
      </c>
      <c r="C131" s="12">
        <v>95</v>
      </c>
      <c r="D131" s="12">
        <v>-6</v>
      </c>
      <c r="E131" s="85">
        <v>30828.24</v>
      </c>
      <c r="F131" s="86">
        <v>-0.0358</v>
      </c>
      <c r="G131" s="87">
        <v>325</v>
      </c>
      <c r="H131" s="86">
        <v>0.0252</v>
      </c>
      <c r="I131" s="12">
        <v>5225.323</v>
      </c>
      <c r="J131" s="12">
        <v>0</v>
      </c>
      <c r="K131" s="12">
        <v>0</v>
      </c>
      <c r="L131" s="85">
        <v>0</v>
      </c>
      <c r="M131" s="86" t="e">
        <v>#DIV/0!</v>
      </c>
      <c r="N131" s="87" t="e">
        <v>#DIV/0!</v>
      </c>
      <c r="O131" s="86" t="e">
        <v>#DIV/0!</v>
      </c>
      <c r="P131" s="88">
        <v>0</v>
      </c>
      <c r="Q131" s="53"/>
      <c r="R131" s="53"/>
      <c r="S131" s="53">
        <v>0</v>
      </c>
      <c r="T131" s="12">
        <v>95</v>
      </c>
      <c r="U131" s="87">
        <v>36054</v>
      </c>
      <c r="V131" s="87" t="e">
        <v>#DIV/0!</v>
      </c>
      <c r="W131" s="12"/>
      <c r="X131" s="144"/>
      <c r="Y131" s="130"/>
      <c r="Z131" s="53"/>
      <c r="AA131" s="53"/>
      <c r="AB131" s="53"/>
      <c r="AC131" s="237"/>
    </row>
    <row r="132" s="164" customFormat="1" ht="15.6" customHeight="1" spans="1:29">
      <c r="A132" s="11" t="s">
        <v>108</v>
      </c>
      <c r="B132" s="12" t="s">
        <v>110</v>
      </c>
      <c r="C132" s="12">
        <v>22</v>
      </c>
      <c r="D132" s="12">
        <v>1</v>
      </c>
      <c r="E132" s="85">
        <v>4054.54</v>
      </c>
      <c r="F132" s="86">
        <v>-0.2434</v>
      </c>
      <c r="G132" s="87">
        <v>184</v>
      </c>
      <c r="H132" s="86">
        <v>-0.2784</v>
      </c>
      <c r="I132" s="12">
        <v>1210.0748</v>
      </c>
      <c r="J132" s="12">
        <v>0</v>
      </c>
      <c r="K132" s="12">
        <v>0</v>
      </c>
      <c r="L132" s="85">
        <v>0</v>
      </c>
      <c r="M132" s="86" t="e">
        <v>#DIV/0!</v>
      </c>
      <c r="N132" s="87" t="e">
        <v>#DIV/0!</v>
      </c>
      <c r="O132" s="86" t="e">
        <v>#DIV/0!</v>
      </c>
      <c r="P132" s="88">
        <v>0</v>
      </c>
      <c r="Q132" s="53"/>
      <c r="R132" s="53"/>
      <c r="S132" s="53">
        <v>0</v>
      </c>
      <c r="T132" s="12">
        <v>22</v>
      </c>
      <c r="U132" s="87">
        <v>5265</v>
      </c>
      <c r="V132" s="87" t="e">
        <v>#DIV/0!</v>
      </c>
      <c r="W132" s="12"/>
      <c r="X132" s="144"/>
      <c r="Y132" s="130"/>
      <c r="Z132" s="53"/>
      <c r="AA132" s="53"/>
      <c r="AB132" s="53"/>
      <c r="AC132" s="237"/>
    </row>
    <row r="133" s="164" customFormat="1" spans="1:29">
      <c r="A133" s="11" t="s">
        <v>108</v>
      </c>
      <c r="B133" s="12" t="s">
        <v>111</v>
      </c>
      <c r="C133" s="12">
        <v>85</v>
      </c>
      <c r="D133" s="12">
        <v>-7</v>
      </c>
      <c r="E133" s="85">
        <v>17801.64</v>
      </c>
      <c r="F133" s="86">
        <v>0.2346</v>
      </c>
      <c r="G133" s="87">
        <v>209</v>
      </c>
      <c r="H133" s="86">
        <v>0.3312</v>
      </c>
      <c r="I133" s="12">
        <v>4795.2386</v>
      </c>
      <c r="J133" s="12">
        <v>0</v>
      </c>
      <c r="K133" s="12">
        <v>0</v>
      </c>
      <c r="L133" s="85">
        <v>0</v>
      </c>
      <c r="M133" s="86" t="e">
        <v>#DIV/0!</v>
      </c>
      <c r="N133" s="87" t="e">
        <v>#DIV/0!</v>
      </c>
      <c r="O133" s="86" t="e">
        <v>#DIV/0!</v>
      </c>
      <c r="P133" s="88">
        <v>0</v>
      </c>
      <c r="Q133" s="53"/>
      <c r="R133" s="53"/>
      <c r="S133" s="53">
        <v>0</v>
      </c>
      <c r="T133" s="12">
        <v>85</v>
      </c>
      <c r="U133" s="87">
        <v>22597</v>
      </c>
      <c r="V133" s="87" t="e">
        <v>#DIV/0!</v>
      </c>
      <c r="W133" s="12"/>
      <c r="X133" s="144"/>
      <c r="Y133" s="130"/>
      <c r="Z133" s="53"/>
      <c r="AA133" s="53"/>
      <c r="AB133" s="53"/>
      <c r="AC133" s="237"/>
    </row>
    <row r="134" s="164" customFormat="1" spans="1:29">
      <c r="A134" s="11" t="s">
        <v>108</v>
      </c>
      <c r="B134" s="12" t="s">
        <v>112</v>
      </c>
      <c r="C134" s="12">
        <v>124</v>
      </c>
      <c r="D134" s="12">
        <v>-16</v>
      </c>
      <c r="E134" s="85">
        <v>22713.79</v>
      </c>
      <c r="F134" s="86">
        <v>0.3432</v>
      </c>
      <c r="G134" s="87">
        <v>183</v>
      </c>
      <c r="H134" s="86">
        <v>0.5124</v>
      </c>
      <c r="I134" s="12">
        <v>7260.2368</v>
      </c>
      <c r="J134" s="12">
        <v>0</v>
      </c>
      <c r="K134" s="12">
        <v>0</v>
      </c>
      <c r="L134" s="85">
        <v>0</v>
      </c>
      <c r="M134" s="86" t="e">
        <v>#DIV/0!</v>
      </c>
      <c r="N134" s="87" t="e">
        <v>#DIV/0!</v>
      </c>
      <c r="O134" s="86" t="e">
        <v>#DIV/0!</v>
      </c>
      <c r="P134" s="88">
        <v>0</v>
      </c>
      <c r="Q134" s="53"/>
      <c r="R134" s="53"/>
      <c r="S134" s="53">
        <v>0</v>
      </c>
      <c r="T134" s="12">
        <v>124</v>
      </c>
      <c r="U134" s="87">
        <v>29974</v>
      </c>
      <c r="V134" s="87" t="e">
        <v>#DIV/0!</v>
      </c>
      <c r="W134" s="12"/>
      <c r="X134" s="144"/>
      <c r="Y134" s="130"/>
      <c r="Z134" s="53"/>
      <c r="AA134" s="53"/>
      <c r="AB134" s="53"/>
      <c r="AC134" s="237"/>
    </row>
    <row r="135" s="164" customFormat="1" spans="1:29">
      <c r="A135" s="11" t="s">
        <v>108</v>
      </c>
      <c r="B135" s="12" t="s">
        <v>113</v>
      </c>
      <c r="C135" s="12">
        <v>0</v>
      </c>
      <c r="D135" s="12">
        <v>0</v>
      </c>
      <c r="E135" s="85">
        <v>0</v>
      </c>
      <c r="F135" s="86" t="e">
        <v>#DIV/0!</v>
      </c>
      <c r="G135" s="87" t="e">
        <v>#DIV/0!</v>
      </c>
      <c r="H135" s="86" t="e">
        <v>#DIV/0!</v>
      </c>
      <c r="I135" s="12">
        <v>0</v>
      </c>
      <c r="J135" s="12">
        <v>0</v>
      </c>
      <c r="K135" s="12">
        <v>0</v>
      </c>
      <c r="L135" s="85">
        <v>0</v>
      </c>
      <c r="M135" s="86" t="e">
        <v>#DIV/0!</v>
      </c>
      <c r="N135" s="87" t="e">
        <v>#DIV/0!</v>
      </c>
      <c r="O135" s="86" t="e">
        <v>#DIV/0!</v>
      </c>
      <c r="P135" s="88">
        <v>0</v>
      </c>
      <c r="Q135" s="53"/>
      <c r="R135" s="53"/>
      <c r="S135" s="53">
        <v>0</v>
      </c>
      <c r="T135" s="12">
        <v>0</v>
      </c>
      <c r="U135" s="87">
        <v>0</v>
      </c>
      <c r="V135" s="87" t="e">
        <v>#DIV/0!</v>
      </c>
      <c r="W135" s="12"/>
      <c r="X135" s="144"/>
      <c r="Y135" s="130"/>
      <c r="Z135" s="53"/>
      <c r="AA135" s="53"/>
      <c r="AB135" s="53"/>
      <c r="AC135" s="237"/>
    </row>
    <row r="136" s="164" customFormat="1" spans="1:29">
      <c r="A136" s="11" t="s">
        <v>108</v>
      </c>
      <c r="B136" s="12" t="s">
        <v>114</v>
      </c>
      <c r="C136" s="12">
        <v>0</v>
      </c>
      <c r="D136" s="12">
        <v>0</v>
      </c>
      <c r="E136" s="85">
        <v>0</v>
      </c>
      <c r="F136" s="86" t="e">
        <v>#DIV/0!</v>
      </c>
      <c r="G136" s="87" t="e">
        <v>#DIV/0!</v>
      </c>
      <c r="H136" s="86" t="e">
        <v>#DIV/0!</v>
      </c>
      <c r="I136" s="12">
        <v>0</v>
      </c>
      <c r="J136" s="12">
        <v>0</v>
      </c>
      <c r="K136" s="12">
        <v>0</v>
      </c>
      <c r="L136" s="85">
        <v>0</v>
      </c>
      <c r="M136" s="86" t="e">
        <v>#DIV/0!</v>
      </c>
      <c r="N136" s="87" t="e">
        <v>#DIV/0!</v>
      </c>
      <c r="O136" s="86" t="e">
        <v>#DIV/0!</v>
      </c>
      <c r="P136" s="88">
        <v>0</v>
      </c>
      <c r="Q136" s="53"/>
      <c r="R136" s="53"/>
      <c r="S136" s="53">
        <v>0</v>
      </c>
      <c r="T136" s="12">
        <v>0</v>
      </c>
      <c r="U136" s="87">
        <v>0</v>
      </c>
      <c r="V136" s="87" t="e">
        <v>#DIV/0!</v>
      </c>
      <c r="W136" s="12"/>
      <c r="X136" s="144"/>
      <c r="Y136" s="130"/>
      <c r="Z136" s="53"/>
      <c r="AA136" s="53"/>
      <c r="AB136" s="53"/>
      <c r="AC136" s="237"/>
    </row>
    <row r="137" s="164" customFormat="1" spans="1:29">
      <c r="A137" s="11" t="s">
        <v>108</v>
      </c>
      <c r="B137" s="12" t="s">
        <v>115</v>
      </c>
      <c r="C137" s="12">
        <v>0</v>
      </c>
      <c r="D137" s="12">
        <v>0</v>
      </c>
      <c r="E137" s="85">
        <v>0</v>
      </c>
      <c r="F137" s="86" t="e">
        <v>#DIV/0!</v>
      </c>
      <c r="G137" s="87" t="e">
        <v>#DIV/0!</v>
      </c>
      <c r="H137" s="86" t="e">
        <v>#DIV/0!</v>
      </c>
      <c r="I137" s="12">
        <v>0</v>
      </c>
      <c r="J137" s="12">
        <v>0</v>
      </c>
      <c r="K137" s="12">
        <v>0</v>
      </c>
      <c r="L137" s="85">
        <v>0</v>
      </c>
      <c r="M137" s="86" t="e">
        <v>#DIV/0!</v>
      </c>
      <c r="N137" s="87" t="e">
        <v>#DIV/0!</v>
      </c>
      <c r="O137" s="86" t="e">
        <v>#DIV/0!</v>
      </c>
      <c r="P137" s="88">
        <v>0</v>
      </c>
      <c r="Q137" s="53"/>
      <c r="R137" s="53"/>
      <c r="S137" s="53">
        <v>0</v>
      </c>
      <c r="T137" s="12">
        <v>0</v>
      </c>
      <c r="U137" s="87">
        <v>0</v>
      </c>
      <c r="V137" s="87" t="e">
        <v>#DIV/0!</v>
      </c>
      <c r="W137" s="12"/>
      <c r="X137" s="144"/>
      <c r="Y137" s="130"/>
      <c r="Z137" s="53"/>
      <c r="AA137" s="53"/>
      <c r="AB137" s="53"/>
      <c r="AC137" s="237"/>
    </row>
    <row r="138" s="164" customFormat="1" spans="1:29">
      <c r="A138" s="11" t="s">
        <v>108</v>
      </c>
      <c r="B138" s="12" t="s">
        <v>116</v>
      </c>
      <c r="C138" s="12">
        <v>0</v>
      </c>
      <c r="D138" s="12">
        <v>0</v>
      </c>
      <c r="E138" s="85">
        <v>0</v>
      </c>
      <c r="F138" s="86" t="e">
        <v>#DIV/0!</v>
      </c>
      <c r="G138" s="87" t="e">
        <v>#DIV/0!</v>
      </c>
      <c r="H138" s="86" t="e">
        <v>#DIV/0!</v>
      </c>
      <c r="I138" s="12">
        <v>0</v>
      </c>
      <c r="J138" s="12">
        <v>0</v>
      </c>
      <c r="K138" s="12">
        <v>0</v>
      </c>
      <c r="L138" s="85">
        <v>0</v>
      </c>
      <c r="M138" s="86" t="e">
        <v>#DIV/0!</v>
      </c>
      <c r="N138" s="87" t="e">
        <v>#DIV/0!</v>
      </c>
      <c r="O138" s="86" t="e">
        <v>#DIV/0!</v>
      </c>
      <c r="P138" s="88">
        <v>0</v>
      </c>
      <c r="Q138" s="53"/>
      <c r="R138" s="53"/>
      <c r="S138" s="53">
        <v>0</v>
      </c>
      <c r="T138" s="12">
        <v>0</v>
      </c>
      <c r="U138" s="87">
        <v>0</v>
      </c>
      <c r="V138" s="87" t="e">
        <v>#DIV/0!</v>
      </c>
      <c r="W138" s="12"/>
      <c r="X138" s="144"/>
      <c r="Y138" s="130"/>
      <c r="Z138" s="53"/>
      <c r="AA138" s="53"/>
      <c r="AB138" s="53"/>
      <c r="AC138" s="237"/>
    </row>
    <row r="139" customFormat="1" spans="1:29">
      <c r="A139" s="239" t="s">
        <v>117</v>
      </c>
      <c r="B139" s="6" t="s">
        <v>118</v>
      </c>
      <c r="C139" s="6">
        <v>0</v>
      </c>
      <c r="D139" s="6">
        <v>0</v>
      </c>
      <c r="E139" s="75">
        <v>0</v>
      </c>
      <c r="F139" s="76" t="e">
        <v>#DIV/0!</v>
      </c>
      <c r="G139" s="77" t="e">
        <v>#DIV/0!</v>
      </c>
      <c r="H139" s="76" t="e">
        <v>#DIV/0!</v>
      </c>
      <c r="I139" s="6">
        <v>0</v>
      </c>
      <c r="J139" s="6">
        <v>0</v>
      </c>
      <c r="K139" s="6">
        <v>0</v>
      </c>
      <c r="L139" s="75">
        <v>0</v>
      </c>
      <c r="M139" s="76" t="e">
        <v>#DIV/0!</v>
      </c>
      <c r="N139" s="77" t="e">
        <v>#DIV/0!</v>
      </c>
      <c r="O139" s="76" t="e">
        <v>#DIV/0!</v>
      </c>
      <c r="P139" s="78">
        <v>0</v>
      </c>
      <c r="Q139" s="3"/>
      <c r="R139" s="3"/>
      <c r="S139" s="3">
        <v>0</v>
      </c>
      <c r="T139" s="238">
        <v>0</v>
      </c>
      <c r="U139" s="77">
        <v>0</v>
      </c>
      <c r="V139" s="77" t="e">
        <v>#DIV/0!</v>
      </c>
      <c r="W139" s="6"/>
      <c r="X139" s="146"/>
      <c r="Y139" s="130"/>
      <c r="Z139" s="3"/>
      <c r="AA139" s="3"/>
      <c r="AB139" s="3"/>
      <c r="AC139" s="4"/>
    </row>
    <row r="140" customFormat="1" spans="1:29">
      <c r="A140" s="239" t="s">
        <v>55</v>
      </c>
      <c r="B140" s="6" t="s">
        <v>119</v>
      </c>
      <c r="C140" s="6">
        <v>136</v>
      </c>
      <c r="D140" s="6">
        <v>-141</v>
      </c>
      <c r="E140" s="75">
        <v>28012.37</v>
      </c>
      <c r="F140" s="76">
        <v>-0.5233</v>
      </c>
      <c r="G140" s="77">
        <v>206</v>
      </c>
      <c r="H140" s="76">
        <v>-0.0283</v>
      </c>
      <c r="I140" s="6">
        <v>8380.0844</v>
      </c>
      <c r="J140" s="6">
        <v>0</v>
      </c>
      <c r="K140" s="6">
        <v>0</v>
      </c>
      <c r="L140" s="75">
        <v>0</v>
      </c>
      <c r="M140" s="76" t="e">
        <v>#DIV/0!</v>
      </c>
      <c r="N140" s="77" t="e">
        <v>#DIV/0!</v>
      </c>
      <c r="O140" s="76" t="e">
        <v>#DIV/0!</v>
      </c>
      <c r="P140" s="78">
        <v>0</v>
      </c>
      <c r="Q140" s="3"/>
      <c r="R140" s="3"/>
      <c r="S140" s="3">
        <v>0</v>
      </c>
      <c r="T140" s="238">
        <v>136</v>
      </c>
      <c r="U140" s="77">
        <v>36392</v>
      </c>
      <c r="V140" s="77" t="e">
        <v>#DIV/0!</v>
      </c>
      <c r="W140" s="6"/>
      <c r="X140" s="146"/>
      <c r="Y140" s="130"/>
      <c r="Z140" s="3"/>
      <c r="AA140" s="3"/>
      <c r="AB140" s="3"/>
      <c r="AC140" s="4"/>
    </row>
    <row r="141" customFormat="1" spans="1:29">
      <c r="A141" s="239" t="s">
        <v>117</v>
      </c>
      <c r="B141" s="6" t="s">
        <v>120</v>
      </c>
      <c r="C141" s="6">
        <v>15</v>
      </c>
      <c r="D141" s="6">
        <v>-5</v>
      </c>
      <c r="E141" s="75">
        <v>3332.95</v>
      </c>
      <c r="F141" s="76">
        <v>-0.7003</v>
      </c>
      <c r="G141" s="77">
        <v>222</v>
      </c>
      <c r="H141" s="76">
        <v>-0.6007</v>
      </c>
      <c r="I141" s="6">
        <v>825.051</v>
      </c>
      <c r="J141" s="6">
        <v>0</v>
      </c>
      <c r="K141" s="6">
        <v>0</v>
      </c>
      <c r="L141" s="75">
        <v>0</v>
      </c>
      <c r="M141" s="76" t="e">
        <v>#DIV/0!</v>
      </c>
      <c r="N141" s="77" t="e">
        <v>#DIV/0!</v>
      </c>
      <c r="O141" s="76" t="e">
        <v>#DIV/0!</v>
      </c>
      <c r="P141" s="78">
        <v>0</v>
      </c>
      <c r="Q141" s="3"/>
      <c r="R141" s="3"/>
      <c r="S141" s="3">
        <v>0</v>
      </c>
      <c r="T141" s="238">
        <v>15</v>
      </c>
      <c r="U141" s="77">
        <v>4158</v>
      </c>
      <c r="V141" s="77" t="e">
        <v>#DIV/0!</v>
      </c>
      <c r="W141" s="6"/>
      <c r="X141" s="146"/>
      <c r="Y141" s="130"/>
      <c r="Z141" s="3"/>
      <c r="AA141" s="3"/>
      <c r="AB141" s="3"/>
      <c r="AC141" s="4"/>
    </row>
    <row r="142" customFormat="1" spans="1:29">
      <c r="A142" s="239" t="s">
        <v>117</v>
      </c>
      <c r="B142" s="6" t="s">
        <v>121</v>
      </c>
      <c r="C142" s="6">
        <v>3</v>
      </c>
      <c r="D142" s="6">
        <v>3</v>
      </c>
      <c r="E142" s="75">
        <v>451.42</v>
      </c>
      <c r="F142" s="76" t="e">
        <v>#DIV/0!</v>
      </c>
      <c r="G142" s="77">
        <v>150</v>
      </c>
      <c r="H142" s="76" t="e">
        <v>#DIV/0!</v>
      </c>
      <c r="I142" s="6">
        <v>204.9934</v>
      </c>
      <c r="J142" s="6">
        <v>0</v>
      </c>
      <c r="K142" s="6">
        <v>0</v>
      </c>
      <c r="L142" s="75">
        <v>0</v>
      </c>
      <c r="M142" s="76" t="e">
        <v>#DIV/0!</v>
      </c>
      <c r="N142" s="77" t="e">
        <v>#DIV/0!</v>
      </c>
      <c r="O142" s="76" t="e">
        <v>#DIV/0!</v>
      </c>
      <c r="P142" s="78">
        <v>0</v>
      </c>
      <c r="Q142" s="3"/>
      <c r="R142" s="3"/>
      <c r="S142" s="3">
        <v>0</v>
      </c>
      <c r="T142" s="238">
        <v>3</v>
      </c>
      <c r="U142" s="77">
        <v>656</v>
      </c>
      <c r="V142" s="77" t="e">
        <v>#DIV/0!</v>
      </c>
      <c r="W142" s="6"/>
      <c r="X142" s="146"/>
      <c r="Y142" s="130"/>
      <c r="Z142" s="3"/>
      <c r="AA142" s="3"/>
      <c r="AB142" s="3"/>
      <c r="AC142" s="4"/>
    </row>
    <row r="143" customFormat="1" spans="1:29">
      <c r="A143" s="239" t="s">
        <v>117</v>
      </c>
      <c r="B143" s="6" t="s">
        <v>122</v>
      </c>
      <c r="C143" s="6">
        <v>0</v>
      </c>
      <c r="D143" s="6">
        <v>0</v>
      </c>
      <c r="E143" s="75">
        <v>0</v>
      </c>
      <c r="F143" s="76" t="e">
        <v>#DIV/0!</v>
      </c>
      <c r="G143" s="77" t="e">
        <v>#DIV/0!</v>
      </c>
      <c r="H143" s="76" t="e">
        <v>#DIV/0!</v>
      </c>
      <c r="I143" s="6">
        <v>0</v>
      </c>
      <c r="J143" s="6">
        <v>0</v>
      </c>
      <c r="K143" s="6">
        <v>0</v>
      </c>
      <c r="L143" s="75">
        <v>0</v>
      </c>
      <c r="M143" s="76" t="e">
        <v>#DIV/0!</v>
      </c>
      <c r="N143" s="77" t="e">
        <v>#DIV/0!</v>
      </c>
      <c r="O143" s="76" t="e">
        <v>#DIV/0!</v>
      </c>
      <c r="P143" s="78">
        <v>0</v>
      </c>
      <c r="Q143" s="3"/>
      <c r="R143" s="3"/>
      <c r="S143" s="3">
        <v>0</v>
      </c>
      <c r="T143" s="238">
        <v>0</v>
      </c>
      <c r="U143" s="77">
        <v>0</v>
      </c>
      <c r="V143" s="77" t="e">
        <v>#DIV/0!</v>
      </c>
      <c r="W143" s="6"/>
      <c r="X143" s="146"/>
      <c r="Y143" s="130"/>
      <c r="Z143" s="3"/>
      <c r="AA143" s="3"/>
      <c r="AB143" s="3"/>
      <c r="AC143" s="4" t="s">
        <v>225</v>
      </c>
    </row>
    <row r="144" customFormat="1" spans="1:29">
      <c r="A144" s="239" t="s">
        <v>55</v>
      </c>
      <c r="B144" s="6" t="s">
        <v>123</v>
      </c>
      <c r="C144" s="6">
        <v>195</v>
      </c>
      <c r="D144" s="6">
        <v>97</v>
      </c>
      <c r="E144" s="75">
        <v>147680.62</v>
      </c>
      <c r="F144" s="76">
        <v>1.1537</v>
      </c>
      <c r="G144" s="77">
        <v>757</v>
      </c>
      <c r="H144" s="76">
        <v>0.0814</v>
      </c>
      <c r="I144" s="6">
        <v>10765.6462</v>
      </c>
      <c r="J144" s="6">
        <v>0</v>
      </c>
      <c r="K144" s="6">
        <v>0</v>
      </c>
      <c r="L144" s="75">
        <v>0</v>
      </c>
      <c r="M144" s="76" t="e">
        <v>#DIV/0!</v>
      </c>
      <c r="N144" s="77" t="e">
        <v>#DIV/0!</v>
      </c>
      <c r="O144" s="76" t="e">
        <v>#DIV/0!</v>
      </c>
      <c r="P144" s="78">
        <v>0</v>
      </c>
      <c r="Q144" s="3"/>
      <c r="R144" s="3"/>
      <c r="S144" s="3">
        <v>0</v>
      </c>
      <c r="T144" s="238">
        <v>195</v>
      </c>
      <c r="U144" s="77">
        <v>158446</v>
      </c>
      <c r="V144" s="77" t="e">
        <v>#DIV/0!</v>
      </c>
      <c r="W144" s="6"/>
      <c r="X144" s="146"/>
      <c r="Y144" s="130"/>
      <c r="Z144" s="3"/>
      <c r="AA144" s="3"/>
      <c r="AB144" s="3"/>
      <c r="AC144" s="4"/>
    </row>
    <row r="145" s="164" customFormat="1" spans="1:29">
      <c r="A145" s="13" t="s">
        <v>124</v>
      </c>
      <c r="B145" s="12" t="s">
        <v>125</v>
      </c>
      <c r="C145" s="12">
        <v>16</v>
      </c>
      <c r="D145" s="12">
        <v>-22</v>
      </c>
      <c r="E145" s="85">
        <v>3157.37</v>
      </c>
      <c r="F145" s="86">
        <v>-0.5479</v>
      </c>
      <c r="G145" s="87">
        <v>197</v>
      </c>
      <c r="H145" s="86">
        <v>0.0707</v>
      </c>
      <c r="I145" s="12">
        <v>880.0544</v>
      </c>
      <c r="J145" s="12">
        <v>0</v>
      </c>
      <c r="K145" s="12">
        <v>0</v>
      </c>
      <c r="L145" s="85">
        <v>0</v>
      </c>
      <c r="M145" s="86" t="e">
        <v>#DIV/0!</v>
      </c>
      <c r="N145" s="87" t="e">
        <v>#DIV/0!</v>
      </c>
      <c r="O145" s="86" t="e">
        <v>#DIV/0!</v>
      </c>
      <c r="P145" s="88">
        <v>0</v>
      </c>
      <c r="Q145" s="53"/>
      <c r="R145" s="53"/>
      <c r="S145" s="53">
        <v>0</v>
      </c>
      <c r="T145" s="12">
        <v>16</v>
      </c>
      <c r="U145" s="87">
        <v>4037</v>
      </c>
      <c r="V145" s="87" t="e">
        <v>#DIV/0!</v>
      </c>
      <c r="W145" s="12"/>
      <c r="X145" s="144"/>
      <c r="Y145" s="130"/>
      <c r="Z145" s="53"/>
      <c r="AA145" s="53"/>
      <c r="AB145" s="53"/>
      <c r="AC145" s="237"/>
    </row>
    <row r="146" s="164" customFormat="1" spans="1:29">
      <c r="A146" s="13" t="s">
        <v>126</v>
      </c>
      <c r="B146" s="12" t="s">
        <v>127</v>
      </c>
      <c r="C146" s="12">
        <v>318</v>
      </c>
      <c r="D146" s="12">
        <v>-15</v>
      </c>
      <c r="E146" s="85">
        <v>102758.15</v>
      </c>
      <c r="F146" s="86">
        <v>-0.0601</v>
      </c>
      <c r="G146" s="87">
        <v>323</v>
      </c>
      <c r="H146" s="86">
        <v>-0.0152</v>
      </c>
      <c r="I146" s="12">
        <v>23628.5024</v>
      </c>
      <c r="J146" s="12">
        <v>1</v>
      </c>
      <c r="K146" s="12">
        <v>0</v>
      </c>
      <c r="L146" s="85">
        <v>212.28</v>
      </c>
      <c r="M146" s="86">
        <v>0.497</v>
      </c>
      <c r="N146" s="87">
        <v>212</v>
      </c>
      <c r="O146" s="86">
        <v>0.493</v>
      </c>
      <c r="P146" s="88">
        <v>0</v>
      </c>
      <c r="Q146" s="53"/>
      <c r="R146" s="53"/>
      <c r="S146" s="53">
        <v>0</v>
      </c>
      <c r="T146" s="12">
        <v>319</v>
      </c>
      <c r="U146" s="87">
        <v>126599</v>
      </c>
      <c r="V146" s="87" t="e">
        <v>#DIV/0!</v>
      </c>
      <c r="W146" s="12"/>
      <c r="X146" s="144"/>
      <c r="Y146" s="130"/>
      <c r="Z146" s="53"/>
      <c r="AA146" s="53"/>
      <c r="AB146" s="53"/>
      <c r="AC146" s="237"/>
    </row>
    <row r="147" s="164" customFormat="1" spans="1:29">
      <c r="A147" s="13" t="s">
        <v>126</v>
      </c>
      <c r="B147" s="12" t="s">
        <v>128</v>
      </c>
      <c r="C147" s="12">
        <v>11</v>
      </c>
      <c r="D147" s="12">
        <v>-12</v>
      </c>
      <c r="E147" s="85">
        <v>9818.23</v>
      </c>
      <c r="F147" s="86">
        <v>-0.4898</v>
      </c>
      <c r="G147" s="87">
        <v>893</v>
      </c>
      <c r="H147" s="86">
        <v>0.0669</v>
      </c>
      <c r="I147" s="12">
        <v>605.0374</v>
      </c>
      <c r="J147" s="12">
        <v>0</v>
      </c>
      <c r="K147" s="12">
        <v>0</v>
      </c>
      <c r="L147" s="85">
        <v>0</v>
      </c>
      <c r="M147" s="86" t="e">
        <v>#DIV/0!</v>
      </c>
      <c r="N147" s="87" t="e">
        <v>#DIV/0!</v>
      </c>
      <c r="O147" s="86" t="e">
        <v>#DIV/0!</v>
      </c>
      <c r="P147" s="88">
        <v>0</v>
      </c>
      <c r="Q147" s="53"/>
      <c r="R147" s="53"/>
      <c r="S147" s="53">
        <v>0</v>
      </c>
      <c r="T147" s="12">
        <v>11</v>
      </c>
      <c r="U147" s="87">
        <v>10423</v>
      </c>
      <c r="V147" s="87" t="e">
        <v>#DIV/0!</v>
      </c>
      <c r="W147" s="12"/>
      <c r="X147" s="144"/>
      <c r="Y147" s="130"/>
      <c r="Z147" s="53"/>
      <c r="AA147" s="53"/>
      <c r="AB147" s="53"/>
      <c r="AC147" s="237"/>
    </row>
    <row r="148" s="164" customFormat="1" spans="1:29">
      <c r="A148" s="13" t="s">
        <v>126</v>
      </c>
      <c r="B148" s="12" t="s">
        <v>129</v>
      </c>
      <c r="C148" s="12">
        <v>0</v>
      </c>
      <c r="D148" s="12">
        <v>0</v>
      </c>
      <c r="E148" s="85">
        <v>0</v>
      </c>
      <c r="F148" s="86" t="e">
        <v>#DIV/0!</v>
      </c>
      <c r="G148" s="87" t="e">
        <v>#DIV/0!</v>
      </c>
      <c r="H148" s="86" t="e">
        <v>#DIV/0!</v>
      </c>
      <c r="I148" s="12">
        <v>0</v>
      </c>
      <c r="J148" s="12">
        <v>0</v>
      </c>
      <c r="K148" s="12">
        <v>0</v>
      </c>
      <c r="L148" s="85">
        <v>0</v>
      </c>
      <c r="M148" s="86" t="e">
        <v>#DIV/0!</v>
      </c>
      <c r="N148" s="87" t="e">
        <v>#DIV/0!</v>
      </c>
      <c r="O148" s="86" t="e">
        <v>#DIV/0!</v>
      </c>
      <c r="P148" s="88">
        <v>0</v>
      </c>
      <c r="Q148" s="53"/>
      <c r="R148" s="53"/>
      <c r="S148" s="53">
        <v>0</v>
      </c>
      <c r="T148" s="12">
        <v>0</v>
      </c>
      <c r="U148" s="87">
        <v>0</v>
      </c>
      <c r="V148" s="87" t="e">
        <v>#DIV/0!</v>
      </c>
      <c r="W148" s="12"/>
      <c r="X148" s="144"/>
      <c r="Y148" s="130"/>
      <c r="Z148" s="53"/>
      <c r="AA148" s="53"/>
      <c r="AB148" s="53"/>
      <c r="AC148" s="237" t="s">
        <v>231</v>
      </c>
    </row>
    <row r="149" s="164" customFormat="1" spans="1:29">
      <c r="A149" s="13" t="s">
        <v>126</v>
      </c>
      <c r="B149" s="12" t="s">
        <v>130</v>
      </c>
      <c r="C149" s="12">
        <v>109</v>
      </c>
      <c r="D149" s="12">
        <v>-77</v>
      </c>
      <c r="E149" s="85">
        <v>36253.08</v>
      </c>
      <c r="F149" s="86">
        <v>-0.3667</v>
      </c>
      <c r="G149" s="87">
        <v>333</v>
      </c>
      <c r="H149" s="86">
        <v>0.0812</v>
      </c>
      <c r="I149" s="12">
        <v>8174.455</v>
      </c>
      <c r="J149" s="12">
        <v>2</v>
      </c>
      <c r="K149" s="12">
        <v>0</v>
      </c>
      <c r="L149" s="85">
        <v>369.1</v>
      </c>
      <c r="M149" s="86">
        <v>-0.0053</v>
      </c>
      <c r="N149" s="87">
        <v>185</v>
      </c>
      <c r="O149" s="86">
        <v>-0.0054</v>
      </c>
      <c r="P149" s="88">
        <v>0</v>
      </c>
      <c r="Q149" s="53"/>
      <c r="R149" s="53"/>
      <c r="S149" s="53">
        <v>0</v>
      </c>
      <c r="T149" s="12">
        <v>111</v>
      </c>
      <c r="U149" s="87">
        <v>44797</v>
      </c>
      <c r="V149" s="87" t="e">
        <v>#DIV/0!</v>
      </c>
      <c r="W149" s="12"/>
      <c r="X149" s="144"/>
      <c r="Y149" s="130"/>
      <c r="Z149" s="53"/>
      <c r="AA149" s="53"/>
      <c r="AB149" s="53"/>
      <c r="AC149" s="237" t="s">
        <v>233</v>
      </c>
    </row>
    <row r="150" s="164" customFormat="1" spans="1:29">
      <c r="A150" s="13" t="s">
        <v>126</v>
      </c>
      <c r="B150" s="12" t="s">
        <v>131</v>
      </c>
      <c r="C150" s="12">
        <v>19</v>
      </c>
      <c r="D150" s="12">
        <v>13</v>
      </c>
      <c r="E150" s="85">
        <v>8742.58</v>
      </c>
      <c r="F150" s="86">
        <v>2.1869</v>
      </c>
      <c r="G150" s="87">
        <v>460</v>
      </c>
      <c r="H150" s="86">
        <v>0.0066</v>
      </c>
      <c r="I150" s="12">
        <v>1045.0646</v>
      </c>
      <c r="J150" s="12">
        <v>0</v>
      </c>
      <c r="K150" s="12">
        <v>0</v>
      </c>
      <c r="L150" s="85">
        <v>0</v>
      </c>
      <c r="M150" s="86" t="e">
        <v>#DIV/0!</v>
      </c>
      <c r="N150" s="87" t="e">
        <v>#DIV/0!</v>
      </c>
      <c r="O150" s="86" t="e">
        <v>#DIV/0!</v>
      </c>
      <c r="P150" s="88">
        <v>0</v>
      </c>
      <c r="Q150" s="53"/>
      <c r="R150" s="53"/>
      <c r="S150" s="53">
        <v>0</v>
      </c>
      <c r="T150" s="12">
        <v>19</v>
      </c>
      <c r="U150" s="87">
        <v>9788</v>
      </c>
      <c r="V150" s="87" t="e">
        <v>#DIV/0!</v>
      </c>
      <c r="W150" s="12"/>
      <c r="X150" s="144"/>
      <c r="Y150" s="130"/>
      <c r="Z150" s="53"/>
      <c r="AA150" s="53"/>
      <c r="AB150" s="53"/>
      <c r="AC150" s="237"/>
    </row>
    <row r="151" s="164" customFormat="1" spans="1:29">
      <c r="A151" s="13" t="s">
        <v>126</v>
      </c>
      <c r="B151" s="12" t="s">
        <v>132</v>
      </c>
      <c r="C151" s="12">
        <v>22</v>
      </c>
      <c r="D151" s="12">
        <v>-17</v>
      </c>
      <c r="E151" s="85">
        <v>6937.38</v>
      </c>
      <c r="F151" s="86">
        <v>-0.4278</v>
      </c>
      <c r="G151" s="87">
        <v>315</v>
      </c>
      <c r="H151" s="86">
        <v>0.0129</v>
      </c>
      <c r="I151" s="12">
        <v>0</v>
      </c>
      <c r="J151" s="12">
        <v>0</v>
      </c>
      <c r="K151" s="12">
        <v>0</v>
      </c>
      <c r="L151" s="85">
        <v>0</v>
      </c>
      <c r="M151" s="86" t="e">
        <v>#DIV/0!</v>
      </c>
      <c r="N151" s="87" t="e">
        <v>#DIV/0!</v>
      </c>
      <c r="O151" s="86" t="e">
        <v>#DIV/0!</v>
      </c>
      <c r="P151" s="88">
        <v>0</v>
      </c>
      <c r="Q151" s="53"/>
      <c r="R151" s="53"/>
      <c r="S151" s="53">
        <v>0</v>
      </c>
      <c r="T151" s="12">
        <v>22</v>
      </c>
      <c r="U151" s="87">
        <v>6937</v>
      </c>
      <c r="V151" s="87" t="e">
        <v>#DIV/0!</v>
      </c>
      <c r="W151" s="12"/>
      <c r="X151" s="144"/>
      <c r="Y151" s="130"/>
      <c r="Z151" s="53"/>
      <c r="AA151" s="53"/>
      <c r="AB151" s="53"/>
      <c r="AC151" s="237"/>
    </row>
    <row r="152" s="164" customFormat="1" spans="1:29">
      <c r="A152" s="13" t="s">
        <v>126</v>
      </c>
      <c r="B152" s="12" t="s">
        <v>133</v>
      </c>
      <c r="C152" s="12">
        <v>241</v>
      </c>
      <c r="D152" s="12">
        <v>-54</v>
      </c>
      <c r="E152" s="85">
        <v>30844.89</v>
      </c>
      <c r="F152" s="86">
        <v>-0.0919</v>
      </c>
      <c r="G152" s="87">
        <v>128</v>
      </c>
      <c r="H152" s="86">
        <v>0.113</v>
      </c>
      <c r="I152" s="12">
        <v>17034.2318</v>
      </c>
      <c r="J152" s="12">
        <v>0</v>
      </c>
      <c r="K152" s="12">
        <v>0</v>
      </c>
      <c r="L152" s="85">
        <v>0</v>
      </c>
      <c r="M152" s="86" t="e">
        <v>#DIV/0!</v>
      </c>
      <c r="N152" s="87" t="e">
        <v>#DIV/0!</v>
      </c>
      <c r="O152" s="86" t="e">
        <v>#DIV/0!</v>
      </c>
      <c r="P152" s="88">
        <v>0</v>
      </c>
      <c r="Q152" s="53"/>
      <c r="R152" s="53"/>
      <c r="S152" s="53">
        <v>0</v>
      </c>
      <c r="T152" s="12">
        <v>241</v>
      </c>
      <c r="U152" s="87">
        <v>47879</v>
      </c>
      <c r="V152" s="87" t="e">
        <v>#DIV/0!</v>
      </c>
      <c r="W152" s="12"/>
      <c r="X152" s="144"/>
      <c r="Y152" s="130"/>
      <c r="Z152" s="53"/>
      <c r="AA152" s="53"/>
      <c r="AB152" s="53"/>
      <c r="AC152" s="237"/>
    </row>
    <row r="153" customFormat="1" spans="1:29">
      <c r="A153" s="240" t="s">
        <v>55</v>
      </c>
      <c r="B153" s="6" t="s">
        <v>134</v>
      </c>
      <c r="C153" s="6">
        <v>4</v>
      </c>
      <c r="D153" s="6">
        <v>-11</v>
      </c>
      <c r="E153" s="75">
        <v>2327.37</v>
      </c>
      <c r="F153" s="76">
        <v>-0.5745</v>
      </c>
      <c r="G153" s="77">
        <v>582</v>
      </c>
      <c r="H153" s="76">
        <v>0.5945</v>
      </c>
      <c r="I153" s="6">
        <v>240.0052</v>
      </c>
      <c r="J153" s="6">
        <v>0</v>
      </c>
      <c r="K153" s="6">
        <v>0</v>
      </c>
      <c r="L153" s="75">
        <v>0</v>
      </c>
      <c r="M153" s="76" t="e">
        <v>#DIV/0!</v>
      </c>
      <c r="N153" s="77" t="e">
        <v>#DIV/0!</v>
      </c>
      <c r="O153" s="76" t="e">
        <v>#DIV/0!</v>
      </c>
      <c r="P153" s="78">
        <v>0</v>
      </c>
      <c r="Q153" s="3"/>
      <c r="R153" s="3"/>
      <c r="S153" s="3">
        <v>0</v>
      </c>
      <c r="T153" s="238">
        <v>4</v>
      </c>
      <c r="U153" s="77">
        <v>2567</v>
      </c>
      <c r="V153" s="77" t="e">
        <v>#DIV/0!</v>
      </c>
      <c r="W153" s="6"/>
      <c r="X153" s="146"/>
      <c r="Y153" s="130"/>
      <c r="Z153" s="3"/>
      <c r="AA153" s="3"/>
      <c r="AB153" s="3"/>
      <c r="AC153" s="4"/>
    </row>
    <row r="154" customFormat="1" spans="1:29">
      <c r="A154" s="240" t="s">
        <v>68</v>
      </c>
      <c r="B154" s="6" t="s">
        <v>135</v>
      </c>
      <c r="C154" s="6">
        <v>407</v>
      </c>
      <c r="D154" s="6">
        <v>34</v>
      </c>
      <c r="E154" s="75">
        <v>90141.3</v>
      </c>
      <c r="F154" s="76">
        <v>0.1538</v>
      </c>
      <c r="G154" s="77">
        <v>221</v>
      </c>
      <c r="H154" s="76">
        <v>0.0574</v>
      </c>
      <c r="I154" s="6">
        <v>25884.9138</v>
      </c>
      <c r="J154" s="6">
        <v>0</v>
      </c>
      <c r="K154" s="6">
        <v>0</v>
      </c>
      <c r="L154" s="75">
        <v>0</v>
      </c>
      <c r="M154" s="76" t="e">
        <v>#DIV/0!</v>
      </c>
      <c r="N154" s="77" t="e">
        <v>#DIV/0!</v>
      </c>
      <c r="O154" s="76" t="e">
        <v>#DIV/0!</v>
      </c>
      <c r="P154" s="78">
        <v>0</v>
      </c>
      <c r="Q154" s="3"/>
      <c r="R154" s="3"/>
      <c r="S154" s="3">
        <v>0</v>
      </c>
      <c r="T154" s="238">
        <v>407</v>
      </c>
      <c r="U154" s="77">
        <v>116026</v>
      </c>
      <c r="V154" s="77" t="e">
        <v>#DIV/0!</v>
      </c>
      <c r="W154" s="6"/>
      <c r="X154" s="146"/>
      <c r="Y154" s="130"/>
      <c r="Z154" s="3"/>
      <c r="AA154" s="3"/>
      <c r="AB154" s="3"/>
      <c r="AC154" s="4"/>
    </row>
    <row r="155" customFormat="1" spans="1:29">
      <c r="A155" s="240" t="s">
        <v>55</v>
      </c>
      <c r="B155" s="6" t="s">
        <v>136</v>
      </c>
      <c r="C155" s="6">
        <v>42</v>
      </c>
      <c r="D155" s="6">
        <v>-16</v>
      </c>
      <c r="E155" s="75">
        <v>7494.98</v>
      </c>
      <c r="F155" s="76">
        <v>-0.3858</v>
      </c>
      <c r="G155" s="77">
        <v>178</v>
      </c>
      <c r="H155" s="76">
        <v>-0.1524</v>
      </c>
      <c r="I155" s="6">
        <v>2310.1428</v>
      </c>
      <c r="J155" s="6">
        <v>0</v>
      </c>
      <c r="K155" s="6">
        <v>0</v>
      </c>
      <c r="L155" s="75">
        <v>0</v>
      </c>
      <c r="M155" s="76" t="e">
        <v>#DIV/0!</v>
      </c>
      <c r="N155" s="77" t="e">
        <v>#DIV/0!</v>
      </c>
      <c r="O155" s="76" t="e">
        <v>#DIV/0!</v>
      </c>
      <c r="P155" s="78">
        <v>0</v>
      </c>
      <c r="Q155" s="3"/>
      <c r="R155" s="3"/>
      <c r="S155" s="3">
        <v>0</v>
      </c>
      <c r="T155" s="238">
        <v>42</v>
      </c>
      <c r="U155" s="77">
        <v>9805</v>
      </c>
      <c r="V155" s="77" t="e">
        <v>#DIV/0!</v>
      </c>
      <c r="W155" s="6"/>
      <c r="X155" s="146"/>
      <c r="Y155" s="130"/>
      <c r="Z155" s="3"/>
      <c r="AA155" s="3"/>
      <c r="AB155" s="3"/>
      <c r="AC155" s="4"/>
    </row>
    <row r="156" customFormat="1" spans="1:29">
      <c r="A156" s="240" t="s">
        <v>68</v>
      </c>
      <c r="B156" s="6" t="s">
        <v>137</v>
      </c>
      <c r="C156" s="6">
        <v>0</v>
      </c>
      <c r="D156" s="6">
        <v>0</v>
      </c>
      <c r="E156" s="75">
        <v>0</v>
      </c>
      <c r="F156" s="76" t="e">
        <v>#DIV/0!</v>
      </c>
      <c r="G156" s="77" t="e">
        <v>#DIV/0!</v>
      </c>
      <c r="H156" s="76" t="e">
        <v>#DIV/0!</v>
      </c>
      <c r="I156" s="6">
        <v>0</v>
      </c>
      <c r="J156" s="6">
        <v>0</v>
      </c>
      <c r="K156" s="6">
        <v>0</v>
      </c>
      <c r="L156" s="75">
        <v>0</v>
      </c>
      <c r="M156" s="76" t="e">
        <v>#DIV/0!</v>
      </c>
      <c r="N156" s="77" t="e">
        <v>#DIV/0!</v>
      </c>
      <c r="O156" s="76" t="e">
        <v>#DIV/0!</v>
      </c>
      <c r="P156" s="78">
        <v>0</v>
      </c>
      <c r="Q156" s="3"/>
      <c r="R156" s="3"/>
      <c r="S156" s="3">
        <v>0</v>
      </c>
      <c r="T156" s="238">
        <v>0</v>
      </c>
      <c r="U156" s="77">
        <v>0</v>
      </c>
      <c r="V156" s="77" t="e">
        <v>#DIV/0!</v>
      </c>
      <c r="W156" s="6"/>
      <c r="X156" s="146"/>
      <c r="Y156" s="130"/>
      <c r="Z156" s="3"/>
      <c r="AA156" s="3"/>
      <c r="AB156" s="3"/>
      <c r="AC156" s="4" t="s">
        <v>234</v>
      </c>
    </row>
    <row r="157" customFormat="1" spans="1:29">
      <c r="A157" s="240" t="s">
        <v>68</v>
      </c>
      <c r="B157" s="6" t="s">
        <v>138</v>
      </c>
      <c r="C157" s="6">
        <v>37</v>
      </c>
      <c r="D157" s="6">
        <v>-5</v>
      </c>
      <c r="E157" s="75">
        <v>13474.85</v>
      </c>
      <c r="F157" s="76">
        <v>-0.0069</v>
      </c>
      <c r="G157" s="77">
        <v>364</v>
      </c>
      <c r="H157" s="76">
        <v>0.1269</v>
      </c>
      <c r="I157" s="6">
        <v>2035.1258</v>
      </c>
      <c r="J157" s="6">
        <v>0</v>
      </c>
      <c r="K157" s="6">
        <v>0</v>
      </c>
      <c r="L157" s="75">
        <v>0</v>
      </c>
      <c r="M157" s="76" t="e">
        <v>#DIV/0!</v>
      </c>
      <c r="N157" s="77" t="e">
        <v>#DIV/0!</v>
      </c>
      <c r="O157" s="76" t="e">
        <v>#DIV/0!</v>
      </c>
      <c r="P157" s="78">
        <v>0</v>
      </c>
      <c r="Q157" s="3"/>
      <c r="R157" s="3"/>
      <c r="S157" s="3">
        <v>0</v>
      </c>
      <c r="T157" s="238">
        <v>37</v>
      </c>
      <c r="U157" s="77">
        <v>15510</v>
      </c>
      <c r="V157" s="77" t="e">
        <v>#DIV/0!</v>
      </c>
      <c r="W157" s="6"/>
      <c r="X157" s="146"/>
      <c r="Y157" s="130"/>
      <c r="Z157" s="3"/>
      <c r="AA157" s="3"/>
      <c r="AB157" s="3"/>
      <c r="AC157" s="4" t="s">
        <v>235</v>
      </c>
    </row>
    <row r="158" customFormat="1" spans="1:29">
      <c r="A158" s="240" t="s">
        <v>68</v>
      </c>
      <c r="B158" s="6" t="s">
        <v>139</v>
      </c>
      <c r="C158" s="6">
        <v>148</v>
      </c>
      <c r="D158" s="6">
        <v>62</v>
      </c>
      <c r="E158" s="75">
        <v>53889.81</v>
      </c>
      <c r="F158" s="76">
        <v>0.8943</v>
      </c>
      <c r="G158" s="77">
        <v>364</v>
      </c>
      <c r="H158" s="76">
        <v>0.0997</v>
      </c>
      <c r="I158" s="6">
        <v>8140.5032</v>
      </c>
      <c r="J158" s="6">
        <v>0</v>
      </c>
      <c r="K158" s="6">
        <v>0</v>
      </c>
      <c r="L158" s="75">
        <v>0</v>
      </c>
      <c r="M158" s="76" t="e">
        <v>#DIV/0!</v>
      </c>
      <c r="N158" s="77" t="e">
        <v>#DIV/0!</v>
      </c>
      <c r="O158" s="76" t="e">
        <v>#DIV/0!</v>
      </c>
      <c r="P158" s="78">
        <v>0</v>
      </c>
      <c r="Q158" s="3"/>
      <c r="R158" s="3"/>
      <c r="S158" s="3">
        <v>0</v>
      </c>
      <c r="T158" s="238">
        <v>148</v>
      </c>
      <c r="U158" s="77">
        <v>62030</v>
      </c>
      <c r="V158" s="77" t="e">
        <v>#DIV/0!</v>
      </c>
      <c r="W158" s="6"/>
      <c r="X158" s="146"/>
      <c r="Y158" s="130"/>
      <c r="Z158" s="3"/>
      <c r="AA158" s="3"/>
      <c r="AB158" s="3"/>
      <c r="AC158" s="4"/>
    </row>
    <row r="159" customFormat="1" spans="1:29">
      <c r="A159" s="240" t="s">
        <v>68</v>
      </c>
      <c r="B159" s="6" t="s">
        <v>140</v>
      </c>
      <c r="C159" s="6">
        <v>31</v>
      </c>
      <c r="D159" s="6">
        <v>-2</v>
      </c>
      <c r="E159" s="75">
        <v>14072.93</v>
      </c>
      <c r="F159" s="76">
        <v>-0.1075</v>
      </c>
      <c r="G159" s="77">
        <v>454</v>
      </c>
      <c r="H159" s="76">
        <v>-0.0502</v>
      </c>
      <c r="I159" s="6">
        <v>1705.1054</v>
      </c>
      <c r="J159" s="6">
        <v>0</v>
      </c>
      <c r="K159" s="6">
        <v>0</v>
      </c>
      <c r="L159" s="75">
        <v>0</v>
      </c>
      <c r="M159" s="76" t="e">
        <v>#DIV/0!</v>
      </c>
      <c r="N159" s="77" t="e">
        <v>#DIV/0!</v>
      </c>
      <c r="O159" s="76" t="e">
        <v>#DIV/0!</v>
      </c>
      <c r="P159" s="78">
        <v>0</v>
      </c>
      <c r="Q159" s="3"/>
      <c r="R159" s="3"/>
      <c r="S159" s="3">
        <v>0</v>
      </c>
      <c r="T159" s="238">
        <v>31</v>
      </c>
      <c r="U159" s="77">
        <v>15778</v>
      </c>
      <c r="V159" s="77" t="e">
        <v>#DIV/0!</v>
      </c>
      <c r="W159" s="6"/>
      <c r="X159" s="146"/>
      <c r="Y159" s="130"/>
      <c r="Z159" s="3"/>
      <c r="AA159" s="3"/>
      <c r="AB159" s="3"/>
      <c r="AC159" s="4"/>
    </row>
    <row r="160" customFormat="1" spans="1:29">
      <c r="A160" s="241" t="s">
        <v>141</v>
      </c>
      <c r="B160" s="12" t="s">
        <v>142</v>
      </c>
      <c r="C160" s="12">
        <v>5</v>
      </c>
      <c r="D160" s="12">
        <v>1</v>
      </c>
      <c r="E160" s="85">
        <v>1694.59</v>
      </c>
      <c r="F160" s="86">
        <v>-0.1101</v>
      </c>
      <c r="G160" s="87">
        <v>339</v>
      </c>
      <c r="H160" s="86">
        <v>-0.2878</v>
      </c>
      <c r="I160" s="12">
        <v>374.975</v>
      </c>
      <c r="J160" s="12">
        <v>0</v>
      </c>
      <c r="K160" s="12">
        <v>0</v>
      </c>
      <c r="L160" s="85">
        <v>0</v>
      </c>
      <c r="M160" s="86" t="e">
        <v>#DIV/0!</v>
      </c>
      <c r="N160" s="87" t="e">
        <v>#DIV/0!</v>
      </c>
      <c r="O160" s="86" t="e">
        <v>#DIV/0!</v>
      </c>
      <c r="P160" s="88">
        <v>0</v>
      </c>
      <c r="Q160" s="53"/>
      <c r="R160" s="53"/>
      <c r="S160" s="53">
        <v>0</v>
      </c>
      <c r="T160" s="12">
        <v>5</v>
      </c>
      <c r="U160" s="87">
        <v>2070</v>
      </c>
      <c r="V160" s="87" t="e">
        <v>#DIV/0!</v>
      </c>
      <c r="W160" s="12"/>
      <c r="X160" s="144"/>
      <c r="Y160" s="130"/>
      <c r="Z160" s="53"/>
      <c r="AA160" s="53"/>
      <c r="AB160" s="53"/>
      <c r="AC160" s="237"/>
    </row>
    <row r="161" s="164" customFormat="1" spans="1:29">
      <c r="A161" s="239" t="s">
        <v>143</v>
      </c>
      <c r="B161" s="6" t="s">
        <v>144</v>
      </c>
      <c r="C161" s="6">
        <v>372</v>
      </c>
      <c r="D161" s="6">
        <v>-81</v>
      </c>
      <c r="E161" s="75">
        <v>76490.52</v>
      </c>
      <c r="F161" s="76">
        <v>0.0007</v>
      </c>
      <c r="G161" s="77">
        <v>206</v>
      </c>
      <c r="H161" s="76">
        <v>0.2189</v>
      </c>
      <c r="I161" s="6">
        <v>20581.2144</v>
      </c>
      <c r="J161" s="6">
        <v>0</v>
      </c>
      <c r="K161" s="6">
        <v>0</v>
      </c>
      <c r="L161" s="75">
        <v>0</v>
      </c>
      <c r="M161" s="76" t="e">
        <v>#DIV/0!</v>
      </c>
      <c r="N161" s="77" t="e">
        <v>#DIV/0!</v>
      </c>
      <c r="O161" s="76" t="e">
        <v>#DIV/0!</v>
      </c>
      <c r="P161" s="78">
        <v>0</v>
      </c>
      <c r="Q161" s="3"/>
      <c r="R161" s="3"/>
      <c r="S161" s="3">
        <v>0</v>
      </c>
      <c r="T161" s="238">
        <v>372</v>
      </c>
      <c r="U161" s="77">
        <v>97072</v>
      </c>
      <c r="V161" s="77" t="e">
        <v>#DIV/0!</v>
      </c>
      <c r="W161" s="6"/>
      <c r="X161" s="146"/>
      <c r="Y161" s="130"/>
      <c r="Z161" s="3"/>
      <c r="AA161" s="3"/>
      <c r="AB161" s="3"/>
      <c r="AC161" s="4"/>
    </row>
    <row r="162" s="164" customFormat="1" spans="1:29">
      <c r="A162" s="242" t="s">
        <v>143</v>
      </c>
      <c r="B162" s="6" t="s">
        <v>145</v>
      </c>
      <c r="C162" s="6">
        <v>210</v>
      </c>
      <c r="D162" s="6">
        <v>-13</v>
      </c>
      <c r="E162" s="75">
        <v>29046.24</v>
      </c>
      <c r="F162" s="76">
        <v>-0.1326</v>
      </c>
      <c r="G162" s="77">
        <v>138</v>
      </c>
      <c r="H162" s="76">
        <v>-0.08</v>
      </c>
      <c r="I162" s="6">
        <v>11550.714</v>
      </c>
      <c r="J162" s="6">
        <v>0</v>
      </c>
      <c r="K162" s="6">
        <v>0</v>
      </c>
      <c r="L162" s="75">
        <v>0</v>
      </c>
      <c r="M162" s="76" t="e">
        <v>#DIV/0!</v>
      </c>
      <c r="N162" s="77" t="e">
        <v>#DIV/0!</v>
      </c>
      <c r="O162" s="76" t="e">
        <v>#DIV/0!</v>
      </c>
      <c r="P162" s="78">
        <v>0</v>
      </c>
      <c r="Q162" s="3"/>
      <c r="R162" s="3"/>
      <c r="S162" s="3">
        <v>0</v>
      </c>
      <c r="T162" s="238">
        <v>210</v>
      </c>
      <c r="U162" s="77">
        <v>40597</v>
      </c>
      <c r="V162" s="77" t="e">
        <v>#DIV/0!</v>
      </c>
      <c r="W162" s="6"/>
      <c r="X162" s="146"/>
      <c r="Y162" s="130"/>
      <c r="Z162" s="3"/>
      <c r="AA162" s="3"/>
      <c r="AB162" s="3"/>
      <c r="AC162" s="4"/>
    </row>
    <row r="163" s="164" customFormat="1" spans="1:29">
      <c r="A163" s="242" t="s">
        <v>143</v>
      </c>
      <c r="B163" s="6" t="s">
        <v>146</v>
      </c>
      <c r="C163" s="6">
        <v>67</v>
      </c>
      <c r="D163" s="6">
        <v>53</v>
      </c>
      <c r="E163" s="75">
        <v>12147.27</v>
      </c>
      <c r="F163" s="76">
        <v>3.5123</v>
      </c>
      <c r="G163" s="77">
        <v>181</v>
      </c>
      <c r="H163" s="76">
        <v>-0.0573</v>
      </c>
      <c r="I163" s="6">
        <v>5024.665</v>
      </c>
      <c r="J163" s="6">
        <v>11</v>
      </c>
      <c r="K163" s="6">
        <v>-7</v>
      </c>
      <c r="L163" s="75">
        <v>3474.16</v>
      </c>
      <c r="M163" s="76">
        <v>-0.4615</v>
      </c>
      <c r="N163" s="77">
        <v>316</v>
      </c>
      <c r="O163" s="76">
        <v>-0.1173</v>
      </c>
      <c r="P163" s="78">
        <v>0</v>
      </c>
      <c r="Q163" s="3"/>
      <c r="R163" s="3"/>
      <c r="S163" s="3">
        <v>0</v>
      </c>
      <c r="T163" s="238">
        <v>78</v>
      </c>
      <c r="U163" s="77">
        <v>20646</v>
      </c>
      <c r="V163" s="77" t="e">
        <v>#DIV/0!</v>
      </c>
      <c r="W163" s="6"/>
      <c r="X163" s="146"/>
      <c r="Y163" s="130"/>
      <c r="Z163" s="3"/>
      <c r="AA163" s="3"/>
      <c r="AB163" s="3"/>
      <c r="AC163" s="4"/>
    </row>
    <row r="164" s="164" customFormat="1" spans="1:29">
      <c r="A164" s="242" t="s">
        <v>147</v>
      </c>
      <c r="B164" s="6" t="s">
        <v>148</v>
      </c>
      <c r="C164" s="6">
        <v>171</v>
      </c>
      <c r="D164" s="6">
        <v>-150</v>
      </c>
      <c r="E164" s="75">
        <v>35278.49</v>
      </c>
      <c r="F164" s="76">
        <v>-0.5685</v>
      </c>
      <c r="G164" s="77">
        <v>206</v>
      </c>
      <c r="H164" s="76">
        <v>-0.1922</v>
      </c>
      <c r="I164" s="6">
        <v>9405.5814</v>
      </c>
      <c r="J164" s="6">
        <v>0</v>
      </c>
      <c r="K164" s="6">
        <v>0</v>
      </c>
      <c r="L164" s="75">
        <v>0</v>
      </c>
      <c r="M164" s="76" t="e">
        <v>#DIV/0!</v>
      </c>
      <c r="N164" s="77" t="e">
        <v>#DIV/0!</v>
      </c>
      <c r="O164" s="76" t="e">
        <v>#DIV/0!</v>
      </c>
      <c r="P164" s="78">
        <v>0</v>
      </c>
      <c r="Q164" s="3"/>
      <c r="R164" s="3"/>
      <c r="S164" s="3">
        <v>0</v>
      </c>
      <c r="T164" s="238">
        <v>171</v>
      </c>
      <c r="U164" s="77">
        <v>44684</v>
      </c>
      <c r="V164" s="77" t="e">
        <v>#DIV/0!</v>
      </c>
      <c r="W164" s="6"/>
      <c r="X164" s="146"/>
      <c r="Y164" s="130"/>
      <c r="Z164" s="3"/>
      <c r="AA164" s="3"/>
      <c r="AB164" s="3"/>
      <c r="AC164" s="4" t="s">
        <v>236</v>
      </c>
    </row>
    <row r="165" s="164" customFormat="1" spans="1:29">
      <c r="A165" s="242" t="s">
        <v>143</v>
      </c>
      <c r="B165" s="6" t="s">
        <v>149</v>
      </c>
      <c r="C165" s="6">
        <v>0</v>
      </c>
      <c r="D165" s="6">
        <v>0</v>
      </c>
      <c r="E165" s="75">
        <v>0</v>
      </c>
      <c r="F165" s="76" t="e">
        <v>#DIV/0!</v>
      </c>
      <c r="G165" s="77" t="e">
        <v>#DIV/0!</v>
      </c>
      <c r="H165" s="76" t="e">
        <v>#DIV/0!</v>
      </c>
      <c r="I165" s="6">
        <v>0</v>
      </c>
      <c r="J165" s="6">
        <v>0</v>
      </c>
      <c r="K165" s="6">
        <v>0</v>
      </c>
      <c r="L165" s="75">
        <v>0</v>
      </c>
      <c r="M165" s="76" t="e">
        <v>#DIV/0!</v>
      </c>
      <c r="N165" s="77" t="e">
        <v>#DIV/0!</v>
      </c>
      <c r="O165" s="76" t="e">
        <v>#DIV/0!</v>
      </c>
      <c r="P165" s="78">
        <v>0</v>
      </c>
      <c r="Q165" s="3"/>
      <c r="R165" s="3"/>
      <c r="S165" s="3">
        <v>0</v>
      </c>
      <c r="T165" s="238">
        <v>0</v>
      </c>
      <c r="U165" s="77">
        <v>0</v>
      </c>
      <c r="V165" s="77" t="e">
        <v>#DIV/0!</v>
      </c>
      <c r="W165" s="6"/>
      <c r="X165" s="146"/>
      <c r="Y165" s="130"/>
      <c r="Z165" s="3"/>
      <c r="AA165" s="3"/>
      <c r="AB165" s="3"/>
      <c r="AC165" s="4" t="s">
        <v>235</v>
      </c>
    </row>
    <row r="166" s="164" customFormat="1" spans="1:29">
      <c r="A166" s="243" t="s">
        <v>143</v>
      </c>
      <c r="B166" s="6" t="s">
        <v>150</v>
      </c>
      <c r="C166" s="6">
        <v>134</v>
      </c>
      <c r="D166" s="6">
        <v>-24</v>
      </c>
      <c r="E166" s="75">
        <v>15131.31</v>
      </c>
      <c r="F166" s="76">
        <v>-0.2239</v>
      </c>
      <c r="G166" s="77">
        <v>113</v>
      </c>
      <c r="H166" s="76">
        <v>-0.0813</v>
      </c>
      <c r="I166" s="6">
        <v>8689.9012</v>
      </c>
      <c r="J166" s="6">
        <v>0</v>
      </c>
      <c r="K166" s="6">
        <v>-1</v>
      </c>
      <c r="L166" s="75">
        <v>0</v>
      </c>
      <c r="M166" s="76">
        <v>-1</v>
      </c>
      <c r="N166" s="77" t="e">
        <v>#DIV/0!</v>
      </c>
      <c r="O166" s="76" t="e">
        <v>#DIV/0!</v>
      </c>
      <c r="P166" s="78">
        <v>0</v>
      </c>
      <c r="Q166" s="3"/>
      <c r="R166" s="3"/>
      <c r="S166" s="3">
        <v>0</v>
      </c>
      <c r="T166" s="238">
        <v>134</v>
      </c>
      <c r="U166" s="77">
        <v>23821</v>
      </c>
      <c r="V166" s="77" t="e">
        <v>#DIV/0!</v>
      </c>
      <c r="W166" s="6"/>
      <c r="X166" s="146"/>
      <c r="Y166" s="130"/>
      <c r="Z166" s="3"/>
      <c r="AA166" s="3"/>
      <c r="AB166" s="3"/>
      <c r="AC166" s="4"/>
    </row>
    <row r="167" customFormat="1" spans="1:29">
      <c r="A167" s="17" t="s">
        <v>151</v>
      </c>
      <c r="B167" s="6" t="s">
        <v>152</v>
      </c>
      <c r="C167" s="6">
        <v>161</v>
      </c>
      <c r="D167" s="6">
        <v>-35</v>
      </c>
      <c r="E167" s="75">
        <v>28371.25</v>
      </c>
      <c r="F167" s="76">
        <v>-0.0313</v>
      </c>
      <c r="G167" s="77">
        <v>176</v>
      </c>
      <c r="H167" s="76">
        <v>0.1812</v>
      </c>
      <c r="I167" s="6">
        <v>0</v>
      </c>
      <c r="J167" s="6">
        <v>0</v>
      </c>
      <c r="K167" s="6">
        <v>0</v>
      </c>
      <c r="L167" s="75">
        <v>0</v>
      </c>
      <c r="M167" s="76" t="e">
        <v>#DIV/0!</v>
      </c>
      <c r="N167" s="77" t="e">
        <v>#DIV/0!</v>
      </c>
      <c r="O167" s="76" t="e">
        <v>#DIV/0!</v>
      </c>
      <c r="P167" s="78">
        <v>0</v>
      </c>
      <c r="Q167" s="3"/>
      <c r="R167" s="3"/>
      <c r="S167" s="3">
        <v>0</v>
      </c>
      <c r="T167" s="238">
        <v>161</v>
      </c>
      <c r="U167" s="77">
        <v>28371</v>
      </c>
      <c r="V167" s="77" t="e">
        <v>#DIV/0!</v>
      </c>
      <c r="W167" s="6"/>
      <c r="X167" s="146"/>
      <c r="Y167" s="130"/>
      <c r="Z167" s="3"/>
      <c r="AA167" s="3"/>
      <c r="AB167" s="3"/>
      <c r="AC167" s="4"/>
    </row>
    <row r="168" customFormat="1" spans="1:29">
      <c r="A168" s="17" t="s">
        <v>153</v>
      </c>
      <c r="B168" s="6" t="s">
        <v>154</v>
      </c>
      <c r="C168" s="6">
        <v>197</v>
      </c>
      <c r="D168" s="6">
        <v>-54</v>
      </c>
      <c r="E168" s="75">
        <v>41730.12</v>
      </c>
      <c r="F168" s="76">
        <v>-0.0637</v>
      </c>
      <c r="G168" s="77">
        <v>212</v>
      </c>
      <c r="H168" s="76">
        <v>0.191</v>
      </c>
      <c r="I168" s="6">
        <v>11175.527</v>
      </c>
      <c r="J168" s="6">
        <v>0</v>
      </c>
      <c r="K168" s="6">
        <v>0</v>
      </c>
      <c r="L168" s="75">
        <v>0</v>
      </c>
      <c r="M168" s="76" t="e">
        <v>#DIV/0!</v>
      </c>
      <c r="N168" s="77" t="e">
        <v>#DIV/0!</v>
      </c>
      <c r="O168" s="76" t="e">
        <v>#DIV/0!</v>
      </c>
      <c r="P168" s="78">
        <v>0</v>
      </c>
      <c r="Q168" s="3"/>
      <c r="R168" s="3"/>
      <c r="S168" s="3">
        <v>0</v>
      </c>
      <c r="T168" s="238">
        <v>197</v>
      </c>
      <c r="U168" s="77">
        <v>52906</v>
      </c>
      <c r="V168" s="77" t="e">
        <v>#DIV/0!</v>
      </c>
      <c r="W168" s="6"/>
      <c r="X168" s="146"/>
      <c r="Y168" s="130"/>
      <c r="Z168" s="3"/>
      <c r="AA168" s="3"/>
      <c r="AB168" s="3"/>
      <c r="AC168" s="4"/>
    </row>
    <row r="169" customFormat="1" spans="1:29">
      <c r="A169" s="3" t="s">
        <v>55</v>
      </c>
      <c r="B169" s="6" t="s">
        <v>155</v>
      </c>
      <c r="C169" s="6">
        <v>0</v>
      </c>
      <c r="D169" s="6">
        <v>0</v>
      </c>
      <c r="E169" s="75">
        <v>0</v>
      </c>
      <c r="F169" s="76" t="e">
        <v>#DIV/0!</v>
      </c>
      <c r="G169" s="77" t="e">
        <v>#DIV/0!</v>
      </c>
      <c r="H169" s="76" t="e">
        <v>#DIV/0!</v>
      </c>
      <c r="I169" s="6">
        <v>0</v>
      </c>
      <c r="J169" s="6">
        <v>0</v>
      </c>
      <c r="K169" s="6">
        <v>0</v>
      </c>
      <c r="L169" s="75">
        <v>0</v>
      </c>
      <c r="M169" s="76" t="e">
        <v>#DIV/0!</v>
      </c>
      <c r="N169" s="77" t="e">
        <v>#DIV/0!</v>
      </c>
      <c r="O169" s="76" t="e">
        <v>#DIV/0!</v>
      </c>
      <c r="P169" s="78">
        <v>0</v>
      </c>
      <c r="Q169" s="3"/>
      <c r="R169" s="3"/>
      <c r="S169" s="3">
        <v>0</v>
      </c>
      <c r="T169" s="238">
        <v>0</v>
      </c>
      <c r="U169" s="77">
        <v>0</v>
      </c>
      <c r="V169" s="77" t="e">
        <v>#DIV/0!</v>
      </c>
      <c r="W169" s="6"/>
      <c r="X169" s="146"/>
      <c r="Y169" s="130"/>
      <c r="Z169" s="3"/>
      <c r="AA169" s="3"/>
      <c r="AB169" s="3"/>
      <c r="AC169" s="4"/>
    </row>
    <row r="170" customFormat="1" spans="1:29">
      <c r="A170" s="3" t="s">
        <v>156</v>
      </c>
      <c r="B170" s="6" t="s">
        <v>157</v>
      </c>
      <c r="C170" s="6">
        <v>5</v>
      </c>
      <c r="D170" s="6">
        <v>5</v>
      </c>
      <c r="E170" s="75">
        <v>2145.5</v>
      </c>
      <c r="F170" s="76" t="e">
        <v>#DIV/0!</v>
      </c>
      <c r="G170" s="77">
        <v>429</v>
      </c>
      <c r="H170" s="76" t="e">
        <v>#DIV/0!</v>
      </c>
      <c r="I170" s="6">
        <v>275.017</v>
      </c>
      <c r="J170" s="6">
        <v>0</v>
      </c>
      <c r="K170" s="6">
        <v>0</v>
      </c>
      <c r="L170" s="75">
        <v>0</v>
      </c>
      <c r="M170" s="76" t="e">
        <v>#DIV/0!</v>
      </c>
      <c r="N170" s="77" t="e">
        <v>#DIV/0!</v>
      </c>
      <c r="O170" s="76" t="e">
        <v>#DIV/0!</v>
      </c>
      <c r="P170" s="78">
        <v>0</v>
      </c>
      <c r="Q170" s="3"/>
      <c r="R170" s="3"/>
      <c r="S170" s="3">
        <v>0</v>
      </c>
      <c r="T170" s="238">
        <v>5</v>
      </c>
      <c r="U170" s="77">
        <v>2421</v>
      </c>
      <c r="V170" s="77" t="e">
        <v>#DIV/0!</v>
      </c>
      <c r="W170" s="6"/>
      <c r="X170" s="146"/>
      <c r="Y170" s="130"/>
      <c r="Z170" s="3"/>
      <c r="AA170" s="3"/>
      <c r="AB170" s="3"/>
      <c r="AC170" s="4"/>
    </row>
    <row r="171" customFormat="1" spans="1:29">
      <c r="A171" s="17" t="s">
        <v>158</v>
      </c>
      <c r="B171" s="6" t="s">
        <v>159</v>
      </c>
      <c r="C171" s="6">
        <v>5</v>
      </c>
      <c r="D171" s="6">
        <v>2</v>
      </c>
      <c r="E171" s="75">
        <v>1017</v>
      </c>
      <c r="F171" s="76">
        <v>-0.1975</v>
      </c>
      <c r="G171" s="77">
        <v>203</v>
      </c>
      <c r="H171" s="76">
        <v>-0.519</v>
      </c>
      <c r="I171" s="6">
        <v>275.017</v>
      </c>
      <c r="J171" s="6">
        <v>0</v>
      </c>
      <c r="K171" s="6">
        <v>0</v>
      </c>
      <c r="L171" s="75">
        <v>0</v>
      </c>
      <c r="M171" s="76" t="e">
        <v>#DIV/0!</v>
      </c>
      <c r="N171" s="77" t="e">
        <v>#DIV/0!</v>
      </c>
      <c r="O171" s="76" t="e">
        <v>#DIV/0!</v>
      </c>
      <c r="P171" s="78">
        <v>0</v>
      </c>
      <c r="Q171" s="3"/>
      <c r="R171" s="3"/>
      <c r="S171" s="3">
        <v>0</v>
      </c>
      <c r="T171" s="238">
        <v>5</v>
      </c>
      <c r="U171" s="77">
        <v>1292</v>
      </c>
      <c r="V171" s="77" t="e">
        <v>#DIV/0!</v>
      </c>
      <c r="W171" s="6"/>
      <c r="X171" s="146"/>
      <c r="Y171" s="130"/>
      <c r="Z171" s="3"/>
      <c r="AA171" s="3"/>
      <c r="AB171" s="3"/>
      <c r="AC171" s="4"/>
    </row>
    <row r="172" customFormat="1" spans="1:29">
      <c r="A172" s="17" t="s">
        <v>158</v>
      </c>
      <c r="B172" s="6" t="s">
        <v>160</v>
      </c>
      <c r="C172" s="6">
        <v>66</v>
      </c>
      <c r="D172" s="6">
        <v>-8</v>
      </c>
      <c r="E172" s="75">
        <v>18222.45</v>
      </c>
      <c r="F172" s="76">
        <v>-0.557</v>
      </c>
      <c r="G172" s="77">
        <v>276</v>
      </c>
      <c r="H172" s="76">
        <v>-0.5036</v>
      </c>
      <c r="I172" s="6">
        <v>3630.2244</v>
      </c>
      <c r="J172" s="6">
        <v>0</v>
      </c>
      <c r="K172" s="6">
        <v>0</v>
      </c>
      <c r="L172" s="75">
        <v>0</v>
      </c>
      <c r="M172" s="76" t="e">
        <v>#DIV/0!</v>
      </c>
      <c r="N172" s="77" t="e">
        <v>#DIV/0!</v>
      </c>
      <c r="O172" s="76" t="e">
        <v>#DIV/0!</v>
      </c>
      <c r="P172" s="78">
        <v>0</v>
      </c>
      <c r="Q172" s="3"/>
      <c r="R172" s="3"/>
      <c r="S172" s="3">
        <v>0</v>
      </c>
      <c r="T172" s="238">
        <v>66</v>
      </c>
      <c r="U172" s="77">
        <v>21853</v>
      </c>
      <c r="V172" s="77" t="e">
        <v>#DIV/0!</v>
      </c>
      <c r="W172" s="6"/>
      <c r="X172" s="146"/>
      <c r="Y172" s="130"/>
      <c r="Z172" s="3"/>
      <c r="AA172" s="3"/>
      <c r="AB172" s="3"/>
      <c r="AC172" s="4"/>
    </row>
    <row r="173" customFormat="1" spans="1:29">
      <c r="A173" s="20" t="s">
        <v>161</v>
      </c>
      <c r="B173" s="6" t="s">
        <v>162</v>
      </c>
      <c r="C173" s="6">
        <v>80</v>
      </c>
      <c r="D173" s="6">
        <v>-21</v>
      </c>
      <c r="E173" s="75">
        <v>32526.3</v>
      </c>
      <c r="F173" s="76">
        <v>-0.2193</v>
      </c>
      <c r="G173" s="77">
        <v>407</v>
      </c>
      <c r="H173" s="76">
        <v>-0.0121</v>
      </c>
      <c r="I173" s="6">
        <v>4400.272</v>
      </c>
      <c r="J173" s="6">
        <v>0</v>
      </c>
      <c r="K173" s="6">
        <v>0</v>
      </c>
      <c r="L173" s="75">
        <v>0</v>
      </c>
      <c r="M173" s="76" t="e">
        <v>#DIV/0!</v>
      </c>
      <c r="N173" s="77" t="e">
        <v>#DIV/0!</v>
      </c>
      <c r="O173" s="76" t="e">
        <v>#DIV/0!</v>
      </c>
      <c r="P173" s="78">
        <v>0</v>
      </c>
      <c r="Q173" s="3"/>
      <c r="R173" s="3"/>
      <c r="S173" s="3">
        <v>0</v>
      </c>
      <c r="T173" s="238">
        <v>80</v>
      </c>
      <c r="U173" s="77">
        <v>36927</v>
      </c>
      <c r="V173" s="77" t="e">
        <v>#DIV/0!</v>
      </c>
      <c r="W173" s="6"/>
      <c r="X173" s="146"/>
      <c r="Y173" s="130"/>
      <c r="Z173" s="3"/>
      <c r="AA173" s="3"/>
      <c r="AB173" s="3"/>
      <c r="AC173" s="4"/>
    </row>
    <row r="174" customFormat="1" spans="1:29">
      <c r="A174" s="20" t="s">
        <v>14</v>
      </c>
      <c r="B174" s="6" t="s">
        <v>163</v>
      </c>
      <c r="C174" s="6">
        <v>0</v>
      </c>
      <c r="D174" s="6">
        <v>-1</v>
      </c>
      <c r="E174" s="75">
        <v>0</v>
      </c>
      <c r="F174" s="76">
        <v>-1</v>
      </c>
      <c r="G174" s="77" t="e">
        <v>#DIV/0!</v>
      </c>
      <c r="H174" s="76" t="e">
        <v>#DIV/0!</v>
      </c>
      <c r="I174" s="6">
        <v>0</v>
      </c>
      <c r="J174" s="6">
        <v>41</v>
      </c>
      <c r="K174" s="6">
        <v>-77</v>
      </c>
      <c r="L174" s="75">
        <v>7476.25</v>
      </c>
      <c r="M174" s="76">
        <v>-0.6861</v>
      </c>
      <c r="N174" s="77">
        <v>182</v>
      </c>
      <c r="O174" s="76">
        <v>-0.099</v>
      </c>
      <c r="P174" s="78">
        <v>0</v>
      </c>
      <c r="Q174" s="3"/>
      <c r="R174" s="3">
        <v>1021130</v>
      </c>
      <c r="S174" s="3">
        <v>0</v>
      </c>
      <c r="T174" s="238">
        <v>41</v>
      </c>
      <c r="U174" s="77">
        <v>1028606</v>
      </c>
      <c r="V174" s="77" t="e">
        <v>#DIV/0!</v>
      </c>
      <c r="W174" s="6"/>
      <c r="X174" s="146"/>
      <c r="Y174" s="130"/>
      <c r="Z174" s="3"/>
      <c r="AA174" s="3"/>
      <c r="AB174" s="3"/>
      <c r="AC174" s="4"/>
    </row>
    <row r="175" customFormat="1" spans="1:29">
      <c r="A175" s="20" t="s">
        <v>14</v>
      </c>
      <c r="B175" s="6" t="s">
        <v>164</v>
      </c>
      <c r="C175" s="6">
        <v>0</v>
      </c>
      <c r="D175" s="6">
        <v>0</v>
      </c>
      <c r="E175" s="75">
        <v>0</v>
      </c>
      <c r="F175" s="76" t="e">
        <v>#DIV/0!</v>
      </c>
      <c r="G175" s="77" t="e">
        <v>#DIV/0!</v>
      </c>
      <c r="H175" s="76" t="e">
        <v>#DIV/0!</v>
      </c>
      <c r="I175" s="6">
        <v>0</v>
      </c>
      <c r="J175" s="6">
        <v>0</v>
      </c>
      <c r="K175" s="6">
        <v>0</v>
      </c>
      <c r="L175" s="75">
        <v>0</v>
      </c>
      <c r="M175" s="76" t="e">
        <v>#DIV/0!</v>
      </c>
      <c r="N175" s="77" t="e">
        <v>#DIV/0!</v>
      </c>
      <c r="O175" s="76" t="e">
        <v>#DIV/0!</v>
      </c>
      <c r="P175" s="78">
        <v>0</v>
      </c>
      <c r="Q175" s="3"/>
      <c r="R175" s="3"/>
      <c r="S175" s="3">
        <v>0</v>
      </c>
      <c r="T175" s="238">
        <v>0</v>
      </c>
      <c r="U175" s="77">
        <v>0</v>
      </c>
      <c r="V175" s="77" t="e">
        <v>#DIV/0!</v>
      </c>
      <c r="W175" s="6"/>
      <c r="X175" s="146"/>
      <c r="Y175" s="130"/>
      <c r="Z175" s="3"/>
      <c r="AA175" s="3"/>
      <c r="AB175" s="3"/>
      <c r="AC175" s="4"/>
    </row>
    <row r="176" customFormat="1" spans="1:29">
      <c r="A176" s="3" t="s">
        <v>165</v>
      </c>
      <c r="B176" s="6" t="s">
        <v>166</v>
      </c>
      <c r="C176" s="6">
        <v>54</v>
      </c>
      <c r="D176" s="6">
        <v>54</v>
      </c>
      <c r="E176" s="75">
        <v>2028.42</v>
      </c>
      <c r="F176" s="76" t="e">
        <v>#DIV/0!</v>
      </c>
      <c r="G176" s="77">
        <v>38</v>
      </c>
      <c r="H176" s="76" t="e">
        <v>#DIV/0!</v>
      </c>
      <c r="I176" s="6">
        <v>2970.1836</v>
      </c>
      <c r="J176" s="6">
        <v>0</v>
      </c>
      <c r="K176" s="6">
        <v>0</v>
      </c>
      <c r="L176" s="75">
        <v>0</v>
      </c>
      <c r="M176" s="76" t="e">
        <v>#DIV/0!</v>
      </c>
      <c r="N176" s="77" t="e">
        <v>#DIV/0!</v>
      </c>
      <c r="O176" s="76" t="e">
        <v>#DIV/0!</v>
      </c>
      <c r="P176" s="78">
        <v>0</v>
      </c>
      <c r="Q176" s="3"/>
      <c r="R176" s="3"/>
      <c r="S176" s="3">
        <v>0</v>
      </c>
      <c r="T176" s="238">
        <v>54</v>
      </c>
      <c r="U176" s="77">
        <v>4999</v>
      </c>
      <c r="V176" s="77" t="e">
        <v>#DIV/0!</v>
      </c>
      <c r="W176" s="6"/>
      <c r="X176" s="146"/>
      <c r="Y176" s="130"/>
      <c r="Z176" s="3"/>
      <c r="AA176" s="3"/>
      <c r="AB176" s="3"/>
      <c r="AC176" s="4" t="s">
        <v>237</v>
      </c>
    </row>
    <row r="177" customFormat="1" spans="1:29">
      <c r="A177" s="20" t="s">
        <v>167</v>
      </c>
      <c r="B177" s="6" t="s">
        <v>168</v>
      </c>
      <c r="C177" s="6">
        <v>66</v>
      </c>
      <c r="D177" s="6">
        <v>-14</v>
      </c>
      <c r="E177" s="75">
        <v>20075.16</v>
      </c>
      <c r="F177" s="76">
        <v>-0.2775</v>
      </c>
      <c r="G177" s="77">
        <v>304</v>
      </c>
      <c r="H177" s="76">
        <v>-0.1239</v>
      </c>
      <c r="I177" s="6">
        <v>3910.1068</v>
      </c>
      <c r="J177" s="6">
        <v>0</v>
      </c>
      <c r="K177" s="6">
        <v>0</v>
      </c>
      <c r="L177" s="75">
        <v>0</v>
      </c>
      <c r="M177" s="76" t="e">
        <v>#DIV/0!</v>
      </c>
      <c r="N177" s="77" t="e">
        <v>#DIV/0!</v>
      </c>
      <c r="O177" s="76" t="e">
        <v>#DIV/0!</v>
      </c>
      <c r="P177" s="78">
        <v>0</v>
      </c>
      <c r="Q177" s="3"/>
      <c r="R177" s="3"/>
      <c r="S177" s="3">
        <v>0</v>
      </c>
      <c r="T177" s="238">
        <v>66</v>
      </c>
      <c r="U177" s="77">
        <v>23985</v>
      </c>
      <c r="V177" s="77" t="e">
        <v>#DIV/0!</v>
      </c>
      <c r="W177" s="6"/>
      <c r="X177" s="146"/>
      <c r="Y177" s="130"/>
      <c r="Z177" s="3"/>
      <c r="AA177" s="3"/>
      <c r="AB177" s="3"/>
      <c r="AC177" s="4"/>
    </row>
    <row r="178" customFormat="1" spans="1:29">
      <c r="A178" s="20" t="s">
        <v>147</v>
      </c>
      <c r="B178" s="6" t="s">
        <v>169</v>
      </c>
      <c r="C178" s="6">
        <v>278</v>
      </c>
      <c r="D178" s="6">
        <v>-298</v>
      </c>
      <c r="E178" s="75">
        <v>63219.48</v>
      </c>
      <c r="F178" s="76">
        <v>-0.5836</v>
      </c>
      <c r="G178" s="77">
        <v>227</v>
      </c>
      <c r="H178" s="76">
        <v>-0.1402</v>
      </c>
      <c r="I178" s="6">
        <v>0</v>
      </c>
      <c r="J178" s="6">
        <v>0</v>
      </c>
      <c r="K178" s="6">
        <v>0</v>
      </c>
      <c r="L178" s="75">
        <v>0</v>
      </c>
      <c r="M178" s="76" t="e">
        <v>#DIV/0!</v>
      </c>
      <c r="N178" s="77" t="e">
        <v>#DIV/0!</v>
      </c>
      <c r="O178" s="76" t="e">
        <v>#DIV/0!</v>
      </c>
      <c r="P178" s="78">
        <v>0</v>
      </c>
      <c r="Q178" s="3"/>
      <c r="R178" s="3"/>
      <c r="S178" s="3">
        <v>0</v>
      </c>
      <c r="T178" s="238">
        <v>278</v>
      </c>
      <c r="U178" s="77">
        <v>63219</v>
      </c>
      <c r="V178" s="77" t="e">
        <v>#DIV/0!</v>
      </c>
      <c r="W178" s="6"/>
      <c r="X178" s="146"/>
      <c r="Y178" s="130"/>
      <c r="Z178" s="3"/>
      <c r="AA178" s="3"/>
      <c r="AB178" s="3"/>
      <c r="AC178" s="4"/>
    </row>
    <row r="179" customFormat="1" spans="1:29">
      <c r="A179" s="20" t="s">
        <v>170</v>
      </c>
      <c r="B179" s="6" t="s">
        <v>171</v>
      </c>
      <c r="C179" s="6">
        <v>32</v>
      </c>
      <c r="D179" s="6">
        <v>19</v>
      </c>
      <c r="E179" s="75">
        <v>8568.38</v>
      </c>
      <c r="F179" s="76">
        <v>2.0744</v>
      </c>
      <c r="G179" s="77">
        <v>268</v>
      </c>
      <c r="H179" s="76">
        <v>0.2523</v>
      </c>
      <c r="I179" s="6">
        <v>0</v>
      </c>
      <c r="J179" s="6">
        <v>0</v>
      </c>
      <c r="K179" s="6">
        <v>0</v>
      </c>
      <c r="L179" s="75">
        <v>0</v>
      </c>
      <c r="M179" s="76" t="e">
        <v>#DIV/0!</v>
      </c>
      <c r="N179" s="77" t="e">
        <v>#DIV/0!</v>
      </c>
      <c r="O179" s="76" t="e">
        <v>#DIV/0!</v>
      </c>
      <c r="P179" s="78">
        <v>0</v>
      </c>
      <c r="Q179" s="3"/>
      <c r="R179" s="3"/>
      <c r="S179" s="3">
        <v>0</v>
      </c>
      <c r="T179" s="238">
        <v>32</v>
      </c>
      <c r="U179" s="77">
        <v>8568</v>
      </c>
      <c r="V179" s="77" t="e">
        <v>#DIV/0!</v>
      </c>
      <c r="W179" s="6"/>
      <c r="X179" s="146"/>
      <c r="Y179" s="130"/>
      <c r="Z179" s="3"/>
      <c r="AA179" s="3"/>
      <c r="AB179" s="3"/>
      <c r="AC179" s="4"/>
    </row>
    <row r="180" customFormat="1" spans="1:29">
      <c r="A180" s="20" t="s">
        <v>172</v>
      </c>
      <c r="B180" s="6" t="s">
        <v>173</v>
      </c>
      <c r="C180" s="6">
        <v>0</v>
      </c>
      <c r="D180" s="6">
        <v>0</v>
      </c>
      <c r="E180" s="75">
        <v>0</v>
      </c>
      <c r="F180" s="76" t="e">
        <v>#DIV/0!</v>
      </c>
      <c r="G180" s="77" t="e">
        <v>#DIV/0!</v>
      </c>
      <c r="H180" s="76" t="e">
        <v>#DIV/0!</v>
      </c>
      <c r="I180" s="6">
        <v>0</v>
      </c>
      <c r="J180" s="6">
        <v>74</v>
      </c>
      <c r="K180" s="6">
        <v>-2</v>
      </c>
      <c r="L180" s="75">
        <v>14572.27</v>
      </c>
      <c r="M180" s="76">
        <v>-0.1233</v>
      </c>
      <c r="N180" s="77">
        <v>197</v>
      </c>
      <c r="O180" s="76">
        <v>-0.1005</v>
      </c>
      <c r="P180" s="78">
        <v>14220.59</v>
      </c>
      <c r="Q180" s="3">
        <v>4710</v>
      </c>
      <c r="R180" s="3"/>
      <c r="S180" s="3">
        <v>0</v>
      </c>
      <c r="T180" s="238">
        <v>74</v>
      </c>
      <c r="U180" s="77">
        <v>33503</v>
      </c>
      <c r="V180" s="77" t="e">
        <v>#DIV/0!</v>
      </c>
      <c r="W180" s="6"/>
      <c r="X180" s="146"/>
      <c r="Y180" s="130"/>
      <c r="Z180" s="3"/>
      <c r="AA180" s="3"/>
      <c r="AB180" s="3"/>
      <c r="AC180" s="4"/>
    </row>
    <row r="181" customFormat="1" spans="1:29">
      <c r="A181" s="20" t="s">
        <v>174</v>
      </c>
      <c r="B181" s="6" t="s">
        <v>175</v>
      </c>
      <c r="C181" s="6">
        <v>0</v>
      </c>
      <c r="D181" s="6">
        <v>0</v>
      </c>
      <c r="E181" s="75">
        <v>0</v>
      </c>
      <c r="F181" s="76" t="e">
        <v>#DIV/0!</v>
      </c>
      <c r="G181" s="77" t="e">
        <v>#DIV/0!</v>
      </c>
      <c r="H181" s="76" t="e">
        <v>#DIV/0!</v>
      </c>
      <c r="I181" s="6">
        <v>0</v>
      </c>
      <c r="J181" s="6">
        <v>0</v>
      </c>
      <c r="K181" s="6">
        <v>0</v>
      </c>
      <c r="L181" s="75">
        <v>0</v>
      </c>
      <c r="M181" s="76" t="e">
        <v>#DIV/0!</v>
      </c>
      <c r="N181" s="77" t="e">
        <v>#DIV/0!</v>
      </c>
      <c r="O181" s="76" t="e">
        <v>#DIV/0!</v>
      </c>
      <c r="P181" s="78">
        <v>0</v>
      </c>
      <c r="Q181" s="3"/>
      <c r="R181" s="3"/>
      <c r="S181" s="3">
        <v>0</v>
      </c>
      <c r="T181" s="238">
        <v>0</v>
      </c>
      <c r="U181" s="77">
        <v>0</v>
      </c>
      <c r="V181" s="77" t="e">
        <v>#DIV/0!</v>
      </c>
      <c r="W181" s="6"/>
      <c r="X181" s="146"/>
      <c r="Y181" s="130"/>
      <c r="Z181" s="3"/>
      <c r="AA181" s="3"/>
      <c r="AB181" s="3"/>
      <c r="AC181" s="4"/>
    </row>
    <row r="182" customFormat="1" spans="1:29">
      <c r="A182" s="20" t="s">
        <v>165</v>
      </c>
      <c r="B182" s="6" t="s">
        <v>176</v>
      </c>
      <c r="C182" s="6">
        <v>143</v>
      </c>
      <c r="D182" s="6">
        <v>53</v>
      </c>
      <c r="E182" s="75">
        <v>13275.67</v>
      </c>
      <c r="F182" s="76">
        <v>0.96</v>
      </c>
      <c r="G182" s="77">
        <v>93</v>
      </c>
      <c r="H182" s="76">
        <v>0.24</v>
      </c>
      <c r="I182" s="6">
        <v>8085.3938</v>
      </c>
      <c r="J182" s="6">
        <v>0</v>
      </c>
      <c r="K182" s="6">
        <v>0</v>
      </c>
      <c r="L182" s="75">
        <v>0</v>
      </c>
      <c r="M182" s="76" t="e">
        <v>#DIV/0!</v>
      </c>
      <c r="N182" s="77" t="e">
        <v>#DIV/0!</v>
      </c>
      <c r="O182" s="76" t="e">
        <v>#DIV/0!</v>
      </c>
      <c r="P182" s="78">
        <v>0</v>
      </c>
      <c r="Q182" s="3"/>
      <c r="R182" s="3"/>
      <c r="S182" s="3">
        <v>0</v>
      </c>
      <c r="T182" s="238">
        <v>143</v>
      </c>
      <c r="U182" s="77">
        <v>21361</v>
      </c>
      <c r="V182" s="77" t="e">
        <v>#DIV/0!</v>
      </c>
      <c r="W182" s="6"/>
      <c r="X182" s="146"/>
      <c r="Y182" s="130"/>
      <c r="Z182" s="3"/>
      <c r="AA182" s="3"/>
      <c r="AB182" s="3"/>
      <c r="AC182" s="4" t="s">
        <v>238</v>
      </c>
    </row>
    <row r="186" customFormat="1" ht="21" customHeight="1" spans="1:29">
      <c r="A186" s="32" t="s">
        <v>180</v>
      </c>
      <c r="B186" s="33"/>
      <c r="C186" s="32" t="s">
        <v>181</v>
      </c>
      <c r="D186" s="73"/>
      <c r="E186" s="73"/>
      <c r="F186" s="73"/>
      <c r="G186" s="73"/>
      <c r="H186" s="73"/>
      <c r="I186" s="33"/>
      <c r="J186" s="22" t="s">
        <v>182</v>
      </c>
      <c r="K186" s="22"/>
      <c r="L186" s="22"/>
      <c r="M186" s="22"/>
      <c r="N186" s="22"/>
      <c r="O186" s="22"/>
      <c r="P186" s="32" t="s">
        <v>183</v>
      </c>
      <c r="Q186" s="73"/>
      <c r="R186" s="73"/>
      <c r="S186" s="33"/>
      <c r="T186" s="22" t="s">
        <v>184</v>
      </c>
      <c r="U186" s="22"/>
      <c r="V186" s="22"/>
      <c r="W186" s="22"/>
      <c r="X186" s="1"/>
      <c r="Y186" s="1"/>
      <c r="Z186" s="1"/>
      <c r="AA186" s="1"/>
      <c r="AB186" s="1"/>
    </row>
    <row r="187" s="165" customFormat="1" ht="32.1" customHeight="1" spans="1:29">
      <c r="A187" s="32" t="s">
        <v>187</v>
      </c>
      <c r="B187" s="33"/>
      <c r="C187" s="22" t="s">
        <v>188</v>
      </c>
      <c r="D187" s="22" t="s">
        <v>189</v>
      </c>
      <c r="E187" s="179" t="s">
        <v>190</v>
      </c>
      <c r="F187" s="22" t="s">
        <v>189</v>
      </c>
      <c r="G187" s="179" t="s">
        <v>191</v>
      </c>
      <c r="H187" s="22" t="s">
        <v>189</v>
      </c>
      <c r="I187" s="22" t="s">
        <v>192</v>
      </c>
      <c r="J187" s="22" t="s">
        <v>188</v>
      </c>
      <c r="K187" s="22" t="s">
        <v>189</v>
      </c>
      <c r="L187" s="179" t="s">
        <v>190</v>
      </c>
      <c r="M187" s="179" t="s">
        <v>189</v>
      </c>
      <c r="N187" s="179" t="s">
        <v>191</v>
      </c>
      <c r="O187" s="22" t="s">
        <v>189</v>
      </c>
      <c r="P187" s="244" t="s">
        <v>193</v>
      </c>
      <c r="Q187" s="167" t="s">
        <v>194</v>
      </c>
      <c r="R187" s="167" t="s">
        <v>195</v>
      </c>
      <c r="S187" s="245" t="s">
        <v>196</v>
      </c>
      <c r="T187" s="189" t="s">
        <v>239</v>
      </c>
      <c r="U187" s="188" t="s">
        <v>240</v>
      </c>
      <c r="V187" s="189" t="s">
        <v>241</v>
      </c>
      <c r="W187" s="188" t="s">
        <v>242</v>
      </c>
      <c r="X187" s="246"/>
      <c r="Y187" s="246"/>
      <c r="Z187" s="246"/>
      <c r="AA187" s="246"/>
      <c r="AB187" s="246"/>
    </row>
    <row r="188" customFormat="1" ht="18" customHeight="1" spans="1:29">
      <c r="A188" s="247" t="s">
        <v>243</v>
      </c>
      <c r="B188" s="6" t="s">
        <v>10</v>
      </c>
      <c r="C188" s="8">
        <v>71</v>
      </c>
      <c r="D188" s="6">
        <v>17</v>
      </c>
      <c r="E188" s="80">
        <v>21111.08</v>
      </c>
      <c r="F188" s="76">
        <v>0.3762</v>
      </c>
      <c r="G188" s="77">
        <v>297</v>
      </c>
      <c r="H188" s="76">
        <v>0.0458</v>
      </c>
      <c r="I188" s="8">
        <v>0</v>
      </c>
      <c r="J188" s="8">
        <v>395</v>
      </c>
      <c r="K188" s="6">
        <v>-519</v>
      </c>
      <c r="L188" s="80">
        <v>48173.43</v>
      </c>
      <c r="M188" s="76">
        <v>-0.3629</v>
      </c>
      <c r="N188" s="77">
        <v>122</v>
      </c>
      <c r="O188" s="76">
        <v>0.4699</v>
      </c>
      <c r="P188" s="83">
        <v>2689.8</v>
      </c>
      <c r="Q188" s="3">
        <v>82306</v>
      </c>
      <c r="R188" s="3"/>
      <c r="S188" s="53"/>
      <c r="T188" s="168">
        <v>466</v>
      </c>
      <c r="U188" s="77">
        <v>154280</v>
      </c>
      <c r="V188" s="76">
        <v>-0.5186</v>
      </c>
      <c r="W188" s="76">
        <v>-0.182</v>
      </c>
      <c r="X188" s="1"/>
      <c r="Y188" s="1"/>
      <c r="Z188" s="1"/>
      <c r="AA188" s="1"/>
      <c r="AB188" s="1"/>
    </row>
    <row r="189" customFormat="1" ht="18" customHeight="1" spans="1:29">
      <c r="A189" s="248"/>
      <c r="B189" s="6" t="s">
        <v>15</v>
      </c>
      <c r="C189" s="8">
        <v>241</v>
      </c>
      <c r="D189" s="6">
        <v>56</v>
      </c>
      <c r="E189" s="80">
        <v>98230.14</v>
      </c>
      <c r="F189" s="76">
        <v>0.4619</v>
      </c>
      <c r="G189" s="77">
        <v>408</v>
      </c>
      <c r="H189" s="76">
        <v>0.124</v>
      </c>
      <c r="I189" s="8">
        <v>0</v>
      </c>
      <c r="J189" s="8">
        <v>255</v>
      </c>
      <c r="K189" s="6">
        <v>-20</v>
      </c>
      <c r="L189" s="80">
        <v>52209.06</v>
      </c>
      <c r="M189" s="76">
        <v>-0.0104</v>
      </c>
      <c r="N189" s="77">
        <v>205</v>
      </c>
      <c r="O189" s="76">
        <v>0.0677</v>
      </c>
      <c r="P189" s="83">
        <v>0</v>
      </c>
      <c r="Q189" s="3">
        <v>114325.05</v>
      </c>
      <c r="R189" s="3"/>
      <c r="S189" s="53"/>
      <c r="T189" s="168">
        <v>496</v>
      </c>
      <c r="U189" s="77">
        <v>264764</v>
      </c>
      <c r="V189" s="76">
        <v>0.0783</v>
      </c>
      <c r="W189" s="76">
        <v>0.1884</v>
      </c>
      <c r="X189" s="1"/>
      <c r="Y189" s="1"/>
      <c r="Z189" s="1"/>
      <c r="AA189" s="1"/>
      <c r="AB189" s="1"/>
    </row>
    <row r="190" customFormat="1" ht="18" customHeight="1" spans="1:29">
      <c r="A190" s="248"/>
      <c r="B190" s="6" t="s">
        <v>17</v>
      </c>
      <c r="C190" s="8">
        <v>322</v>
      </c>
      <c r="D190" s="6">
        <v>135</v>
      </c>
      <c r="E190" s="80">
        <v>113858.98</v>
      </c>
      <c r="F190" s="76">
        <v>0.6991</v>
      </c>
      <c r="G190" s="77">
        <v>354</v>
      </c>
      <c r="H190" s="76">
        <v>-0.0112</v>
      </c>
      <c r="I190" s="8">
        <v>0</v>
      </c>
      <c r="J190" s="8">
        <v>130</v>
      </c>
      <c r="K190" s="6">
        <v>-33</v>
      </c>
      <c r="L190" s="80">
        <v>46208.1</v>
      </c>
      <c r="M190" s="76">
        <v>-0.191</v>
      </c>
      <c r="N190" s="77">
        <v>355</v>
      </c>
      <c r="O190" s="76">
        <v>0.0143</v>
      </c>
      <c r="P190" s="83">
        <v>0</v>
      </c>
      <c r="Q190" s="3">
        <v>16613</v>
      </c>
      <c r="R190" s="3">
        <v>1458</v>
      </c>
      <c r="S190" s="53"/>
      <c r="T190" s="168">
        <v>452</v>
      </c>
      <c r="U190" s="77">
        <v>178138</v>
      </c>
      <c r="V190" s="76">
        <v>0.2914</v>
      </c>
      <c r="W190" s="76">
        <v>0.1939</v>
      </c>
      <c r="X190" s="1"/>
      <c r="Y190" s="1"/>
      <c r="Z190" s="1"/>
      <c r="AA190" s="1"/>
      <c r="AB190" s="1"/>
    </row>
    <row r="191" customFormat="1" ht="18" customHeight="1" spans="1:29">
      <c r="A191" s="248"/>
      <c r="B191" s="6" t="s">
        <v>47</v>
      </c>
      <c r="C191" s="8">
        <v>627</v>
      </c>
      <c r="D191" s="6">
        <v>144</v>
      </c>
      <c r="E191" s="80">
        <v>240416.13</v>
      </c>
      <c r="F191" s="76">
        <v>0.1952</v>
      </c>
      <c r="G191" s="77">
        <v>383</v>
      </c>
      <c r="H191" s="76">
        <v>-0.0793</v>
      </c>
      <c r="I191" s="8">
        <v>0</v>
      </c>
      <c r="J191" s="8">
        <v>0</v>
      </c>
      <c r="K191" s="6">
        <v>0</v>
      </c>
      <c r="L191" s="80">
        <v>0</v>
      </c>
      <c r="M191" s="76" t="e">
        <v>#DIV/0!</v>
      </c>
      <c r="N191" s="77" t="e">
        <v>#DIV/0!</v>
      </c>
      <c r="O191" s="76" t="e">
        <v>#DIV/0!</v>
      </c>
      <c r="P191" s="83">
        <v>0</v>
      </c>
      <c r="Q191" s="61">
        <v>13281.6</v>
      </c>
      <c r="R191" s="3">
        <v>25922.52</v>
      </c>
      <c r="S191" s="53"/>
      <c r="T191" s="168">
        <v>627</v>
      </c>
      <c r="U191" s="77">
        <v>279620</v>
      </c>
      <c r="V191" s="76">
        <v>0.2981</v>
      </c>
      <c r="W191" s="76">
        <v>0.1773</v>
      </c>
      <c r="X191" s="1"/>
      <c r="Y191" s="1"/>
      <c r="Z191" s="1"/>
      <c r="AA191" s="1"/>
      <c r="AB191" s="1"/>
    </row>
    <row r="192" customFormat="1" ht="18" customHeight="1" spans="1:29">
      <c r="A192" s="248"/>
      <c r="B192" s="6" t="s">
        <v>51</v>
      </c>
      <c r="C192" s="8">
        <v>743</v>
      </c>
      <c r="D192" s="6">
        <v>-397</v>
      </c>
      <c r="E192" s="80">
        <v>234108.26</v>
      </c>
      <c r="F192" s="76">
        <v>-0.2436</v>
      </c>
      <c r="G192" s="77">
        <v>315</v>
      </c>
      <c r="H192" s="76">
        <v>0.1581</v>
      </c>
      <c r="I192" s="8">
        <v>0</v>
      </c>
      <c r="J192" s="8">
        <v>0</v>
      </c>
      <c r="K192" s="6">
        <v>0</v>
      </c>
      <c r="L192" s="80">
        <v>0</v>
      </c>
      <c r="M192" s="76" t="e">
        <v>#DIV/0!</v>
      </c>
      <c r="N192" s="77" t="e">
        <v>#DIV/0!</v>
      </c>
      <c r="O192" s="76" t="e">
        <v>#DIV/0!</v>
      </c>
      <c r="P192" s="83">
        <v>0</v>
      </c>
      <c r="Q192" s="3">
        <v>30710</v>
      </c>
      <c r="R192" s="3"/>
      <c r="S192" s="53"/>
      <c r="T192" s="168">
        <v>743</v>
      </c>
      <c r="U192" s="77">
        <v>264818</v>
      </c>
      <c r="V192" s="76">
        <v>-0.3482</v>
      </c>
      <c r="W192" s="76">
        <v>-0.2712</v>
      </c>
      <c r="X192" s="1"/>
      <c r="Y192" s="1"/>
      <c r="Z192" s="1"/>
      <c r="AA192" s="1"/>
      <c r="AB192" s="1"/>
    </row>
    <row r="193" customFormat="1" ht="18" customHeight="1" spans="1:28">
      <c r="A193" s="248"/>
      <c r="B193" s="6" t="s">
        <v>52</v>
      </c>
      <c r="C193" s="8">
        <v>210</v>
      </c>
      <c r="D193" s="6">
        <v>200</v>
      </c>
      <c r="E193" s="80">
        <v>67556.6</v>
      </c>
      <c r="F193" s="76">
        <v>8.2919</v>
      </c>
      <c r="G193" s="77">
        <v>322</v>
      </c>
      <c r="H193" s="76">
        <v>-0.5571</v>
      </c>
      <c r="I193" s="8">
        <v>0</v>
      </c>
      <c r="J193" s="8">
        <v>0</v>
      </c>
      <c r="K193" s="6">
        <v>0</v>
      </c>
      <c r="L193" s="80">
        <v>0</v>
      </c>
      <c r="M193" s="76" t="e">
        <v>#DIV/0!</v>
      </c>
      <c r="N193" s="77" t="e">
        <v>#DIV/0!</v>
      </c>
      <c r="O193" s="76" t="e">
        <v>#DIV/0!</v>
      </c>
      <c r="P193" s="83">
        <v>0</v>
      </c>
      <c r="Q193" s="3">
        <v>4939.5</v>
      </c>
      <c r="R193" s="3"/>
      <c r="S193" s="53"/>
      <c r="T193" s="168">
        <v>210</v>
      </c>
      <c r="U193" s="77">
        <v>72496</v>
      </c>
      <c r="V193" s="76">
        <v>20</v>
      </c>
      <c r="W193" s="76">
        <v>4.2182</v>
      </c>
      <c r="X193" s="1"/>
      <c r="Y193" s="1"/>
      <c r="Z193" s="1"/>
      <c r="AA193" s="1"/>
      <c r="AB193" s="1"/>
    </row>
    <row r="194" customFormat="1" ht="18" customHeight="1" spans="1:28">
      <c r="A194" s="249"/>
      <c r="B194" s="6" t="s">
        <v>53</v>
      </c>
      <c r="C194" s="8">
        <v>995</v>
      </c>
      <c r="D194" s="6">
        <v>34</v>
      </c>
      <c r="E194" s="80">
        <v>322196.34</v>
      </c>
      <c r="F194" s="76">
        <v>-0.0402</v>
      </c>
      <c r="G194" s="77">
        <v>324</v>
      </c>
      <c r="H194" s="76">
        <v>-0.0716</v>
      </c>
      <c r="I194" s="8">
        <v>0</v>
      </c>
      <c r="J194" s="8">
        <v>14</v>
      </c>
      <c r="K194" s="6">
        <v>6</v>
      </c>
      <c r="L194" s="80">
        <v>2553.26</v>
      </c>
      <c r="M194" s="76">
        <v>0.575</v>
      </c>
      <c r="N194" s="77">
        <v>182</v>
      </c>
      <c r="O194" s="76">
        <v>-0.1034</v>
      </c>
      <c r="P194" s="83">
        <v>0</v>
      </c>
      <c r="Q194" s="3">
        <v>35631</v>
      </c>
      <c r="R194" s="3">
        <v>3510</v>
      </c>
      <c r="S194" s="53"/>
      <c r="T194" s="168">
        <v>1009</v>
      </c>
      <c r="U194" s="77">
        <v>363891</v>
      </c>
      <c r="V194" s="76">
        <v>0.0413</v>
      </c>
      <c r="W194" s="76">
        <v>-0.0677</v>
      </c>
      <c r="X194" s="1"/>
      <c r="Y194" s="1"/>
      <c r="Z194" s="1"/>
      <c r="AA194" s="1"/>
      <c r="AB194" s="1"/>
    </row>
    <row r="195" customFormat="1" ht="18" customHeight="1" spans="1:28">
      <c r="A195" s="22"/>
      <c r="B195" s="6" t="s">
        <v>163</v>
      </c>
      <c r="C195" s="8">
        <v>0</v>
      </c>
      <c r="D195" s="6">
        <v>-1</v>
      </c>
      <c r="E195" s="80">
        <v>0</v>
      </c>
      <c r="F195" s="76">
        <v>-1</v>
      </c>
      <c r="G195" s="77" t="e">
        <v>#DIV/0!</v>
      </c>
      <c r="H195" s="76" t="e">
        <v>#DIV/0!</v>
      </c>
      <c r="I195" s="8">
        <v>0</v>
      </c>
      <c r="J195" s="8">
        <v>41</v>
      </c>
      <c r="K195" s="6">
        <v>-77</v>
      </c>
      <c r="L195" s="80">
        <v>7476.25</v>
      </c>
      <c r="M195" s="76">
        <v>-0.6861</v>
      </c>
      <c r="N195" s="77">
        <v>182</v>
      </c>
      <c r="O195" s="76">
        <v>-0.099</v>
      </c>
      <c r="P195" s="83">
        <v>0</v>
      </c>
      <c r="Q195" s="3"/>
      <c r="R195" s="3"/>
      <c r="S195" s="53"/>
      <c r="T195" s="168">
        <v>41</v>
      </c>
      <c r="U195" s="77">
        <v>7476</v>
      </c>
      <c r="V195" s="76">
        <v>-0.6555</v>
      </c>
      <c r="W195" s="76">
        <v>-0.6905</v>
      </c>
      <c r="X195" s="1"/>
      <c r="Y195" s="1"/>
      <c r="Z195" s="1"/>
      <c r="AA195" s="1"/>
      <c r="AB195" s="1"/>
    </row>
    <row r="196" s="165" customFormat="1" ht="18" customHeight="1" spans="1:28">
      <c r="A196" s="32" t="s">
        <v>184</v>
      </c>
      <c r="B196" s="33"/>
      <c r="C196" s="250">
        <v>3209</v>
      </c>
      <c r="D196" s="6">
        <v>188</v>
      </c>
      <c r="E196" s="251">
        <v>1097477.53</v>
      </c>
      <c r="F196" s="76">
        <v>0.0936</v>
      </c>
      <c r="G196" s="77">
        <v>342</v>
      </c>
      <c r="H196" s="76">
        <v>0.0301</v>
      </c>
      <c r="I196" s="8">
        <v>0</v>
      </c>
      <c r="J196" s="250">
        <v>835</v>
      </c>
      <c r="K196" s="6">
        <v>-643</v>
      </c>
      <c r="L196" s="251">
        <v>149143.85</v>
      </c>
      <c r="M196" s="76">
        <v>-0.2029</v>
      </c>
      <c r="N196" s="77">
        <v>179</v>
      </c>
      <c r="O196" s="76">
        <v>0.4094</v>
      </c>
      <c r="P196" s="252">
        <v>2689.8</v>
      </c>
      <c r="Q196" s="22">
        <v>297806.15</v>
      </c>
      <c r="R196" s="22">
        <v>30890.52</v>
      </c>
      <c r="S196" s="253"/>
      <c r="T196" s="24">
        <v>4044</v>
      </c>
      <c r="U196" s="22">
        <v>1585483</v>
      </c>
      <c r="V196" s="76">
        <v>-0.1011</v>
      </c>
      <c r="W196" s="76">
        <v>-0.0027</v>
      </c>
      <c r="X196" s="246"/>
      <c r="Y196" s="246"/>
      <c r="Z196" s="246"/>
      <c r="AA196" s="246"/>
      <c r="AB196" s="246"/>
    </row>
  </sheetData>
  <protectedRanges>
    <protectedRange sqref="W45:W82" name="W45:W82"/>
  </protectedRanges>
  <mergeCells count="92">
    <mergeCell ref="A1:W1"/>
    <mergeCell ref="X1:AB1"/>
    <mergeCell ref="A2:B2"/>
    <mergeCell ref="C2:I2"/>
    <mergeCell ref="J2:O2"/>
    <mergeCell ref="P2:S2"/>
    <mergeCell ref="T2:W2"/>
    <mergeCell ref="X2:Y2"/>
    <mergeCell ref="Z2:AB2"/>
    <mergeCell ref="A3:B3"/>
    <mergeCell ref="A36:B36"/>
    <mergeCell ref="O37:T37"/>
    <mergeCell ref="A38:B38"/>
    <mergeCell ref="A39:B39"/>
    <mergeCell ref="A40:B40"/>
    <mergeCell ref="T40:W40"/>
    <mergeCell ref="A41:B41"/>
    <mergeCell ref="A42:O42"/>
    <mergeCell ref="A43:B43"/>
    <mergeCell ref="C43:H43"/>
    <mergeCell ref="J43:O43"/>
    <mergeCell ref="P43:S43"/>
    <mergeCell ref="T43:W43"/>
    <mergeCell ref="X43:AB43"/>
    <mergeCell ref="A44:B44"/>
    <mergeCell ref="A186:B186"/>
    <mergeCell ref="C186:I186"/>
    <mergeCell ref="J186:O186"/>
    <mergeCell ref="P186:S186"/>
    <mergeCell ref="T186:W186"/>
    <mergeCell ref="A187:B187"/>
    <mergeCell ref="A196:B196"/>
    <mergeCell ref="A4:A10"/>
    <mergeCell ref="A11:A35"/>
    <mergeCell ref="A188:A194"/>
    <mergeCell ref="V45:V46"/>
    <mergeCell ref="V52:V54"/>
    <mergeCell ref="V55:V57"/>
    <mergeCell ref="V58:V60"/>
    <mergeCell ref="V77:V78"/>
    <mergeCell ref="V82:V83"/>
    <mergeCell ref="W45:W46"/>
    <mergeCell ref="W52:W54"/>
    <mergeCell ref="W55:W57"/>
    <mergeCell ref="W58:W60"/>
    <mergeCell ref="W77:W78"/>
    <mergeCell ref="W82:W83"/>
    <mergeCell ref="X45:X46"/>
    <mergeCell ref="X49:X51"/>
    <mergeCell ref="X52:X54"/>
    <mergeCell ref="X55:X57"/>
    <mergeCell ref="X58:X60"/>
    <mergeCell ref="X65:X67"/>
    <mergeCell ref="X77:X78"/>
    <mergeCell ref="X80:X81"/>
    <mergeCell ref="X82:X83"/>
    <mergeCell ref="Y45:Y46"/>
    <mergeCell ref="Y49:Y51"/>
    <mergeCell ref="Y52:Y54"/>
    <mergeCell ref="Y55:Y57"/>
    <mergeCell ref="Y58:Y60"/>
    <mergeCell ref="Y65:Y67"/>
    <mergeCell ref="Y77:Y78"/>
    <mergeCell ref="Y80:Y81"/>
    <mergeCell ref="Y82:Y83"/>
    <mergeCell ref="Z49:Z51"/>
    <mergeCell ref="Z52:Z54"/>
    <mergeCell ref="Z55:Z57"/>
    <mergeCell ref="Z58:Z60"/>
    <mergeCell ref="Z65:Z67"/>
    <mergeCell ref="Z77:Z78"/>
    <mergeCell ref="Z80:Z81"/>
    <mergeCell ref="Z82:Z83"/>
    <mergeCell ref="AA49:AA51"/>
    <mergeCell ref="AA52:AA54"/>
    <mergeCell ref="AA55:AA57"/>
    <mergeCell ref="AA58:AA60"/>
    <mergeCell ref="AA65:AA67"/>
    <mergeCell ref="AA77:AA78"/>
    <mergeCell ref="AA80:AA81"/>
    <mergeCell ref="AA82:AA83"/>
    <mergeCell ref="AB49:AB51"/>
    <mergeCell ref="AB52:AB54"/>
    <mergeCell ref="AB55:AB57"/>
    <mergeCell ref="AB58:AB60"/>
    <mergeCell ref="AB65:AB67"/>
    <mergeCell ref="AB77:AB78"/>
    <mergeCell ref="AB80:AB81"/>
    <mergeCell ref="AB82:AB83"/>
    <mergeCell ref="AC43:AC44"/>
    <mergeCell ref="AC80:AC81"/>
    <mergeCell ref="AD80:AD81"/>
  </mergeCells>
  <pageMargins left="0.7" right="0.7" top="0.75" bottom="0.75" header="0.3" footer="0.3"/>
  <pageSetup paperSize="9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D196"/>
  <sheetViews>
    <sheetView zoomScale="80" zoomScaleNormal="80" workbookViewId="0">
      <pane xSplit="2" topLeftCell="C1" activePane="topRight" state="frozen"/>
      <selection/>
      <selection pane="topRight" activeCell="L38" sqref="L38"/>
    </sheetView>
  </sheetViews>
  <sheetFormatPr defaultColWidth="7.875" defaultRowHeight="13.5"/>
  <cols>
    <col min="1" max="1" width="13.25" style="1" customWidth="1"/>
    <col min="2" max="2" width="17.75" customWidth="1"/>
    <col min="3" max="3" width="9.375" customWidth="1"/>
    <col min="4" max="4" width="7" customWidth="1"/>
    <col min="5" max="5" width="12.875" style="166" customWidth="1"/>
    <col min="6" max="6" width="9" customWidth="1"/>
    <col min="7" max="7" width="9.125" style="166" customWidth="1"/>
    <col min="8" max="8" width="7.375" customWidth="1"/>
    <col min="9" max="9" width="8.25" customWidth="1"/>
    <col min="10" max="10" width="6.75" customWidth="1"/>
    <col min="11" max="11" width="5" customWidth="1"/>
    <col min="12" max="12" width="11.625" style="166" customWidth="1"/>
    <col min="13" max="13" width="15.25" style="166" customWidth="1"/>
    <col min="14" max="14" width="8.50833333333333" style="166" customWidth="1"/>
    <col min="15" max="15" width="8.375" customWidth="1"/>
    <col min="16" max="16" width="10.875" customWidth="1"/>
    <col min="17" max="17" width="12.9666666666667" style="1" customWidth="1"/>
    <col min="18" max="18" width="10.375" style="1" customWidth="1"/>
    <col min="19" max="19" width="0.125" style="1" customWidth="1"/>
    <col min="20" max="20" width="7.75" customWidth="1"/>
    <col min="21" max="21" width="12.75" style="166" customWidth="1"/>
    <col min="22" max="22" width="8.50833333333333" style="166" customWidth="1"/>
    <col min="23" max="23" width="13.7416666666667" customWidth="1"/>
    <col min="24" max="24" width="7.875" style="1" customWidth="1"/>
    <col min="25" max="25" width="8.875" style="1" customWidth="1"/>
    <col min="26" max="26" width="9.50833333333333" style="1" customWidth="1"/>
    <col min="27" max="27" width="9.75" style="1" customWidth="1"/>
    <col min="28" max="28" width="10.875" style="1" customWidth="1"/>
    <col min="29" max="29" width="29.375" customWidth="1"/>
    <col min="31" max="31" width="16.25" customWidth="1"/>
    <col min="32" max="32" width="18.125" customWidth="1"/>
    <col min="33" max="33" width="20" customWidth="1"/>
  </cols>
  <sheetData>
    <row r="1" ht="21" customHeight="1" spans="1:29">
      <c r="A1" s="22" t="s">
        <v>178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32"/>
      <c r="X1" s="32" t="s">
        <v>179</v>
      </c>
      <c r="Y1" s="73"/>
      <c r="Z1" s="73"/>
      <c r="AA1" s="73"/>
      <c r="AB1" s="33"/>
    </row>
    <row r="2" ht="21" customHeight="1" spans="1:29">
      <c r="A2" s="22" t="s">
        <v>180</v>
      </c>
      <c r="B2" s="22"/>
      <c r="C2" s="22" t="s">
        <v>181</v>
      </c>
      <c r="D2" s="22"/>
      <c r="E2" s="22"/>
      <c r="F2" s="22"/>
      <c r="G2" s="22"/>
      <c r="H2" s="22"/>
      <c r="I2" s="22"/>
      <c r="J2" s="22" t="s">
        <v>182</v>
      </c>
      <c r="K2" s="22"/>
      <c r="L2" s="22"/>
      <c r="M2" s="22"/>
      <c r="N2" s="22"/>
      <c r="O2" s="22"/>
      <c r="P2" s="32" t="s">
        <v>183</v>
      </c>
      <c r="Q2" s="73"/>
      <c r="R2" s="73"/>
      <c r="S2" s="33"/>
      <c r="T2" s="22" t="s">
        <v>184</v>
      </c>
      <c r="U2" s="22"/>
      <c r="V2" s="22"/>
      <c r="W2" s="32"/>
      <c r="X2" s="32" t="s">
        <v>185</v>
      </c>
      <c r="Y2" s="33"/>
      <c r="Z2" s="32" t="str" cm="1">
        <f ca="1" t="array" ref="Z2">MID(_wpsfn.SHEETSNAME(Z2),7,2)</f>
        <v>19</v>
      </c>
      <c r="AA2" s="73"/>
      <c r="AB2" s="33"/>
    </row>
    <row r="3" ht="39" customHeight="1" spans="1:29">
      <c r="A3" s="32" t="s">
        <v>187</v>
      </c>
      <c r="B3" s="33"/>
      <c r="C3" s="74" t="s">
        <v>188</v>
      </c>
      <c r="D3" s="74" t="s">
        <v>189</v>
      </c>
      <c r="E3" s="74" t="s">
        <v>190</v>
      </c>
      <c r="F3" s="74" t="s">
        <v>189</v>
      </c>
      <c r="G3" s="74" t="s">
        <v>191</v>
      </c>
      <c r="H3" s="74" t="s">
        <v>189</v>
      </c>
      <c r="I3" s="74" t="s">
        <v>192</v>
      </c>
      <c r="J3" s="74" t="s">
        <v>188</v>
      </c>
      <c r="K3" s="74" t="s">
        <v>189</v>
      </c>
      <c r="L3" s="74" t="s">
        <v>190</v>
      </c>
      <c r="M3" s="74" t="s">
        <v>189</v>
      </c>
      <c r="N3" s="74" t="s">
        <v>191</v>
      </c>
      <c r="O3" s="74" t="s">
        <v>189</v>
      </c>
      <c r="P3" s="74" t="s">
        <v>193</v>
      </c>
      <c r="Q3" s="74" t="s">
        <v>194</v>
      </c>
      <c r="R3" s="74" t="s">
        <v>195</v>
      </c>
      <c r="S3" s="74" t="s">
        <v>196</v>
      </c>
      <c r="T3" s="35" t="s">
        <v>188</v>
      </c>
      <c r="U3" s="74" t="s">
        <v>190</v>
      </c>
      <c r="V3" s="74" t="s">
        <v>197</v>
      </c>
      <c r="W3" s="74" t="s">
        <v>198</v>
      </c>
      <c r="X3" s="74" t="s">
        <v>199</v>
      </c>
      <c r="Y3" s="74" t="s">
        <v>200</v>
      </c>
      <c r="Z3" s="74" t="s">
        <v>201</v>
      </c>
      <c r="AA3" s="74" t="s">
        <v>202</v>
      </c>
      <c r="AB3" s="167" t="s">
        <v>203</v>
      </c>
    </row>
    <row r="4" spans="1:29">
      <c r="A4" s="3" t="s">
        <v>204</v>
      </c>
      <c r="B4" s="6" t="s">
        <v>12</v>
      </c>
      <c r="C4" s="6">
        <f t="array" ref="C4">SUM((LOOKUP(ROW($45:$182),IF($A$45:$A$182&lt;&gt;"",ROW($45:$182)),$A$45:$A$182)=B4)*$C$45:$C$182)</f>
        <v>280</v>
      </c>
      <c r="D4" s="6">
        <f>C4-'2025年18周'!C4</f>
        <v>-216</v>
      </c>
      <c r="E4" s="75">
        <f t="array" ref="E4">SUM((LOOKUP(ROW($45:$182),IF($A$45:$A$182&lt;&gt;"",ROW($45:$182)),$A$45:$A$182)=B4)*$E$45:$E$182)</f>
        <v>96025.08</v>
      </c>
      <c r="F4" s="76">
        <f>(E4-'2025年18周'!E4)/'2025年18周'!E4</f>
        <v>-0.4757</v>
      </c>
      <c r="G4" s="75">
        <f>E4/C4</f>
        <v>342.95</v>
      </c>
      <c r="H4" s="76">
        <f>(G4-'2025年18周'!G4)/'2025年18周'!G4</f>
        <v>-0.0713</v>
      </c>
      <c r="I4" s="6">
        <f t="array" ref="I4">SUM((LOOKUP(ROW($45:$182),IF($A$45:$A$182&lt;&gt;"",ROW($45:$182)),$A$45:$A$182)=B4)*$I$45:$I$182)</f>
        <v>0</v>
      </c>
      <c r="J4" s="6">
        <f t="array" ref="J4">SUM((LOOKUP(ROW($45:$182),IF($A$45:$A$182&lt;&gt;"",ROW($45:$182)),$A$45:$A$182)=B4)*$J$45:$J$182)</f>
        <v>64</v>
      </c>
      <c r="K4" s="6">
        <f>J4-'2025年18周'!J4</f>
        <v>-67</v>
      </c>
      <c r="L4" s="77">
        <f t="array" ref="L4">SUM((LOOKUP(ROW($45:$182),IF($A$45:$A$182&lt;&gt;"",ROW($45:$182)),$A$45:$A$182)=B4)*$L$45:$L$182)</f>
        <v>17921</v>
      </c>
      <c r="M4" s="76">
        <f>(L4-'2025年18周'!L4)/'2025年18周'!L4</f>
        <v>-0.6163</v>
      </c>
      <c r="N4" s="75">
        <f>L4/J4</f>
        <v>280.02</v>
      </c>
      <c r="O4" s="76">
        <f>(N4-'2025年18周'!N4)/'2025年18周'!N4</f>
        <v>-0.2146</v>
      </c>
      <c r="P4" s="78">
        <f t="array" ref="P4">SUM((LOOKUP(ROW($45:$182),IF($A$45:$A$182&lt;&gt;"",ROW($45:$182)),$A$45:$A$182)=B4)*$P$45:$P$182)</f>
        <v>1190.32</v>
      </c>
      <c r="Q4" s="44">
        <f>SUMIFS(第19周周填报数据!D:D,第19周周填报数据!B:B,B4,第19周周填报数据!I:I,"堆场仓储板块")</f>
        <v>101075.4</v>
      </c>
      <c r="R4" s="44">
        <f>SUMIFS(第19周周填报数据!D:D,第19周周填报数据!B:B,B4,第19周周填报数据!I:I,"&lt;&gt;堆场仓储板块")</f>
        <v>510</v>
      </c>
      <c r="S4" s="3">
        <v>0</v>
      </c>
      <c r="T4" s="168">
        <f>C4+J4</f>
        <v>344</v>
      </c>
      <c r="U4" s="75">
        <f t="shared" ref="U4:U9" si="0">E4+L4+I4+P4+Q4+R4+S4</f>
        <v>216721.8</v>
      </c>
      <c r="V4" s="77">
        <f t="shared" ref="V4:V10" si="1">U4/W4</f>
        <v>5160</v>
      </c>
      <c r="W4" s="45">
        <v>42</v>
      </c>
      <c r="X4" s="3">
        <v>900</v>
      </c>
      <c r="Y4" s="145">
        <f t="shared" ref="Y4:Y10" si="2">T4-X4</f>
        <v>-556</v>
      </c>
      <c r="Z4" s="3">
        <f ca="1" t="shared" ref="Z4:Z9" si="3">X4*$Z$2</f>
        <v>17100</v>
      </c>
      <c r="AA4" s="3">
        <f>自营2026周完成情况!BB35</f>
        <v>10160</v>
      </c>
      <c r="AB4" s="169">
        <f ca="1" t="shared" ref="AB4:AB10" si="4">AA4-Z4</f>
        <v>-6940</v>
      </c>
      <c r="AC4" s="104"/>
    </row>
    <row r="5" s="163" customFormat="1" spans="1:29">
      <c r="A5" s="9"/>
      <c r="B5" s="8" t="s">
        <v>19</v>
      </c>
      <c r="C5" s="8">
        <f t="array" ref="C5">SUM((LOOKUP(ROW($45:$182),IF($A$45:$A$182&lt;&gt;"",ROW($45:$182)),$A$45:$A$182)=B5)*$C$45:$C$182)</f>
        <v>2073</v>
      </c>
      <c r="D5" s="8">
        <f>C5-'2025年18周'!C5</f>
        <v>-776</v>
      </c>
      <c r="E5" s="80">
        <f t="array" ref="E5">SUM((LOOKUP(ROW($45:$182),IF($A$45:$A$182&lt;&gt;"",ROW($45:$182)),$A$45:$A$182)=B5)*$E$45:$E$182)</f>
        <v>296138.23</v>
      </c>
      <c r="F5" s="81">
        <f>(E5-'2025年18周'!E5)/'2025年18周'!E5</f>
        <v>-0.313</v>
      </c>
      <c r="G5" s="80">
        <f>E5/C5</f>
        <v>142.85</v>
      </c>
      <c r="H5" s="81">
        <f>(G5-'2025年18周'!G5)/'2025年18周'!G5</f>
        <v>-0.0558</v>
      </c>
      <c r="I5" s="8">
        <f t="array" ref="I5">SUM((LOOKUP(ROW($45:$182),IF($A$45:$A$182&lt;&gt;"",ROW($45:$182)),$A$45:$A$182)=B5)*$I$45:$I$182)</f>
        <v>136132.7578</v>
      </c>
      <c r="J5" s="8">
        <f t="array" ref="J5">SUM((LOOKUP(ROW($45:$182),IF($A$45:$A$182&lt;&gt;"",ROW($45:$182)),$A$45:$A$182)=B5)*$J$45:$J$182)</f>
        <v>66</v>
      </c>
      <c r="K5" s="8">
        <f>J5-'2025年18周'!J5</f>
        <v>-82</v>
      </c>
      <c r="L5" s="82">
        <f t="array" ref="L5">SUM((LOOKUP(ROW($45:$182),IF($A$45:$A$182&lt;&gt;"",ROW($45:$182)),$A$45:$A$182)=B5)*$L$45:$L$182)</f>
        <v>15558</v>
      </c>
      <c r="M5" s="81">
        <f>(L5-'2025年18周'!L5)/'2025年18周'!L5</f>
        <v>-0.6369</v>
      </c>
      <c r="N5" s="80">
        <f>L5/J5</f>
        <v>235.73</v>
      </c>
      <c r="O5" s="81">
        <f>(N5-'2025年18周'!N5)/'2025年18周'!N5</f>
        <v>-0.1857</v>
      </c>
      <c r="P5" s="83">
        <f t="array" ref="P5">SUM((LOOKUP(ROW($45:$182),IF($A$45:$A$182&lt;&gt;"",ROW($45:$182)),$A$45:$A$182)=B5)*$P$45:$P$182)</f>
        <v>10865.54</v>
      </c>
      <c r="Q5" s="51">
        <f>SUMIFS(第19周周填报数据!D:D,第19周周填报数据!B:B,B5,第19周周填报数据!I:I,"堆场仓储板块")</f>
        <v>0</v>
      </c>
      <c r="R5" s="51">
        <f>SUMIFS(第19周周填报数据!D:D,第19周周填报数据!B:B,B5,第19周周填报数据!I:I,"&lt;&gt;堆场仓储板块")</f>
        <v>11120</v>
      </c>
      <c r="S5" s="9"/>
      <c r="T5" s="168">
        <f>C5+J5</f>
        <v>2139</v>
      </c>
      <c r="U5" s="80">
        <f t="shared" si="0"/>
        <v>469814.53</v>
      </c>
      <c r="V5" s="82">
        <f t="shared" si="1"/>
        <v>14237</v>
      </c>
      <c r="W5" s="52">
        <v>33</v>
      </c>
      <c r="X5" s="9">
        <v>2500</v>
      </c>
      <c r="Y5" s="148">
        <f t="shared" si="2"/>
        <v>-361</v>
      </c>
      <c r="Z5" s="9">
        <f ca="1" t="shared" si="3"/>
        <v>47500</v>
      </c>
      <c r="AA5" s="9">
        <f>自营2026周完成情况!BB36</f>
        <v>51345</v>
      </c>
      <c r="AB5" s="170">
        <f ca="1" t="shared" si="4"/>
        <v>3845</v>
      </c>
      <c r="AC5" s="171"/>
    </row>
    <row r="6" spans="1:29">
      <c r="A6" s="3"/>
      <c r="B6" s="6" t="s">
        <v>30</v>
      </c>
      <c r="C6" s="6">
        <f t="array" ref="C6">SUM((LOOKUP(ROW($45:$182),IF($A$45:$A$182&lt;&gt;"",ROW($45:$182)),$A$45:$A$182)=B6)*$C$45:$C$182)</f>
        <v>1431</v>
      </c>
      <c r="D6" s="6">
        <f>C6-'2025年18周'!C6</f>
        <v>-853</v>
      </c>
      <c r="E6" s="75">
        <f t="array" ref="E6">SUM((LOOKUP(ROW($45:$182),IF($A$45:$A$182&lt;&gt;"",ROW($45:$182)),$A$45:$A$182)=B6)*$E$45:$E$182)</f>
        <v>329095.39</v>
      </c>
      <c r="F6" s="76">
        <f>(E6-'2025年18周'!E6)/'2025年18周'!E6</f>
        <v>-0.3665</v>
      </c>
      <c r="G6" s="75">
        <f t="shared" ref="G6:G36" si="5">E6/C6</f>
        <v>229.98</v>
      </c>
      <c r="H6" s="76">
        <f>(G6-'2025年18周'!G6)/'2025年18周'!G6</f>
        <v>0.0112</v>
      </c>
      <c r="I6" s="6">
        <f t="array" ref="I6">SUM((LOOKUP(ROW($45:$182),IF($A$45:$A$182&lt;&gt;"",ROW($45:$182)),$A$45:$A$182)=B6)*$I$45:$I$182)</f>
        <v>74382.2564</v>
      </c>
      <c r="J6" s="6">
        <f t="array" ref="J6">SUM((LOOKUP(ROW($45:$182),IF($A$45:$A$182&lt;&gt;"",ROW($45:$182)),$A$45:$A$182)=B6)*$J$45:$J$182)</f>
        <v>40</v>
      </c>
      <c r="K6" s="6">
        <f>J6-'2025年18周'!J6</f>
        <v>-209</v>
      </c>
      <c r="L6" s="77">
        <f t="array" ref="L6">SUM((LOOKUP(ROW($45:$182),IF($A$45:$A$182&lt;&gt;"",ROW($45:$182)),$A$45:$A$182)=B6)*$L$45:$L$182)</f>
        <v>15397</v>
      </c>
      <c r="M6" s="76">
        <f>(L6-'2025年18周'!L6)/'2025年18周'!L6</f>
        <v>-0.8144</v>
      </c>
      <c r="N6" s="75">
        <f t="shared" ref="N6:N36" si="6">L6/J6</f>
        <v>384.93</v>
      </c>
      <c r="O6" s="76">
        <f>(N6-'2025年18周'!N6)/'2025年18周'!N6</f>
        <v>0.1552</v>
      </c>
      <c r="P6" s="78">
        <f t="array" ref="P6">SUM((LOOKUP(ROW($45:$182),IF($A$45:$A$182&lt;&gt;"",ROW($45:$182)),$A$45:$A$182)=B6)*$P$45:$P$182)</f>
        <v>0</v>
      </c>
      <c r="Q6" s="44">
        <f>SUMIFS(第19周周填报数据!D:D,第19周周填报数据!B:B,B6,第19周周填报数据!I:I,"堆场仓储板块")</f>
        <v>6882</v>
      </c>
      <c r="R6" s="44">
        <f>SUMIFS(第19周周填报数据!D:D,第19周周填报数据!B:B,B6,第19周周填报数据!I:I,"&lt;&gt;堆场仓储板块")</f>
        <v>0</v>
      </c>
      <c r="S6" s="3"/>
      <c r="T6" s="168">
        <f t="shared" ref="T6:T22" si="7">C6+J6</f>
        <v>1471</v>
      </c>
      <c r="U6" s="75">
        <f t="shared" si="0"/>
        <v>425756.65</v>
      </c>
      <c r="V6" s="77">
        <f t="shared" si="1"/>
        <v>7341</v>
      </c>
      <c r="W6" s="45">
        <v>58</v>
      </c>
      <c r="X6" s="3">
        <v>3000</v>
      </c>
      <c r="Y6" s="145">
        <f t="shared" si="2"/>
        <v>-1529</v>
      </c>
      <c r="Z6" s="3">
        <f ca="1" t="shared" si="3"/>
        <v>57000</v>
      </c>
      <c r="AA6" s="3">
        <f>自营2026周完成情况!BB37</f>
        <v>38596</v>
      </c>
      <c r="AB6" s="169">
        <f ca="1" t="shared" si="4"/>
        <v>-18404</v>
      </c>
      <c r="AC6" s="104"/>
    </row>
    <row r="7" s="163" customFormat="1" spans="1:29">
      <c r="A7" s="9"/>
      <c r="B7" s="8" t="s">
        <v>46</v>
      </c>
      <c r="C7" s="8" cm="1">
        <f t="array" ref="C7">SUM((LOOKUP(ROW($45:$182),IF($A$45:$A$182&lt;&gt;"",ROW($45:$182)),$A$45:$A$182)=B7)*$C$45:$C$182)</f>
        <v>1038</v>
      </c>
      <c r="D7" s="8">
        <f>C7-'2025年18周'!C7</f>
        <v>-293</v>
      </c>
      <c r="E7" s="80">
        <f t="array" ref="E7">SUM((LOOKUP(ROW($45:$182),IF($A$45:$A$182&lt;&gt;"",ROW($45:$182)),$A$45:$A$182)=B7)*$E$45:$E$182)</f>
        <v>215642.55</v>
      </c>
      <c r="F7" s="81">
        <f>(E7-'2025年18周'!E7)/'2025年18周'!E7</f>
        <v>-0.3846</v>
      </c>
      <c r="G7" s="80">
        <f t="shared" si="5"/>
        <v>207.75</v>
      </c>
      <c r="H7" s="81">
        <f>(G7-'2025年18周'!G7)/'2025年18周'!G7</f>
        <v>-0.2109</v>
      </c>
      <c r="I7" s="8">
        <f t="array" ref="I7">SUM((LOOKUP(ROW($45:$182),IF($A$45:$A$182&lt;&gt;"",ROW($45:$182)),$A$45:$A$182)=B7)*$I$45:$I$182)</f>
        <v>47005.0534</v>
      </c>
      <c r="J7" s="8">
        <f t="array" ref="J7">SUM((LOOKUP(ROW($45:$182),IF($A$45:$A$182&lt;&gt;"",ROW($45:$182)),$A$45:$A$182)=B7)*$J$45:$J$182)</f>
        <v>96</v>
      </c>
      <c r="K7" s="8">
        <f>J7-'2025年18周'!J7</f>
        <v>53</v>
      </c>
      <c r="L7" s="82">
        <f t="array" ref="L7">SUM((LOOKUP(ROW($45:$182),IF($A$45:$A$182&lt;&gt;"",ROW($45:$182)),$A$45:$A$182)=B7)*$L$45:$L$182)</f>
        <v>17220</v>
      </c>
      <c r="M7" s="81">
        <f>(L7-'2025年18周'!L7)/'2025年18周'!L7</f>
        <v>0.4061</v>
      </c>
      <c r="N7" s="80">
        <f t="shared" si="6"/>
        <v>179.38</v>
      </c>
      <c r="O7" s="81">
        <f>(N7-'2025年18周'!N7)/'2025年18周'!N7</f>
        <v>-0.3702</v>
      </c>
      <c r="P7" s="83">
        <f t="array" ref="P7">SUM((LOOKUP(ROW($45:$182),IF($A$45:$A$182&lt;&gt;"",ROW($45:$182)),$A$45:$A$182)=B7)*$P$45:$P$182)</f>
        <v>749.89</v>
      </c>
      <c r="Q7" s="51">
        <f>SUMIFS(第19周周填报数据!D:D,第19周周填报数据!B:B,B7,第19周周填报数据!I:I,"堆场仓储板块")</f>
        <v>7155.66</v>
      </c>
      <c r="R7" s="51">
        <f>SUMIFS(第19周周填报数据!D:D,第19周周填报数据!B:B,B7,第19周周填报数据!I:I,"&lt;&gt;堆场仓储板块")</f>
        <v>10505</v>
      </c>
      <c r="S7" s="9"/>
      <c r="T7" s="168">
        <f t="shared" si="7"/>
        <v>1134</v>
      </c>
      <c r="U7" s="80">
        <f t="shared" si="0"/>
        <v>298278.15</v>
      </c>
      <c r="V7" s="82">
        <f t="shared" si="1"/>
        <v>14204</v>
      </c>
      <c r="W7" s="52">
        <v>21</v>
      </c>
      <c r="X7" s="9">
        <v>1100</v>
      </c>
      <c r="Y7" s="148">
        <f t="shared" si="2"/>
        <v>34</v>
      </c>
      <c r="Z7" s="9">
        <f ca="1" t="shared" si="3"/>
        <v>20900</v>
      </c>
      <c r="AA7" s="9">
        <f>自营2026周完成情况!BB38</f>
        <v>24386</v>
      </c>
      <c r="AB7" s="170">
        <f ca="1" t="shared" si="4"/>
        <v>3486</v>
      </c>
      <c r="AC7" s="171"/>
    </row>
    <row r="8" spans="1:29">
      <c r="A8" s="3"/>
      <c r="B8" s="6" t="s">
        <v>50</v>
      </c>
      <c r="C8" s="6">
        <f t="array" ref="C8">SUM((LOOKUP(ROW($45:$182),IF($A$45:$A$182&lt;&gt;"",ROW($45:$182)),$A$45:$A$182)=B8)*$C$45:$C$182)</f>
        <v>1535</v>
      </c>
      <c r="D8" s="6">
        <f>C8-'2025年18周'!C8</f>
        <v>-422</v>
      </c>
      <c r="E8" s="75">
        <f t="array" ref="E8">SUM((LOOKUP(ROW($45:$182),IF($A$45:$A$182&lt;&gt;"",ROW($45:$182)),$A$45:$A$182)=B8)*$E$45:$E$182)</f>
        <v>451210.96</v>
      </c>
      <c r="F8" s="76">
        <f>(E8-'2025年18周'!E8)/'2025年18周'!E8</f>
        <v>-0.2819</v>
      </c>
      <c r="G8" s="75">
        <f t="shared" si="5"/>
        <v>293.95</v>
      </c>
      <c r="H8" s="76">
        <f>(G8-'2025年18周'!G8)/'2025年18周'!G8</f>
        <v>-0.0845</v>
      </c>
      <c r="I8" s="6">
        <f t="array" ref="I8">SUM((LOOKUP(ROW($45:$182),IF($A$45:$A$182&lt;&gt;"",ROW($45:$182)),$A$45:$A$182)=B8)*$I$45:$I$182)</f>
        <v>2035.1258</v>
      </c>
      <c r="J8" s="6">
        <f t="array" ref="J8">SUM((LOOKUP(ROW($45:$182),IF($A$45:$A$182&lt;&gt;"",ROW($45:$182)),$A$45:$A$182)=B8)*$J$45:$J$182)</f>
        <v>15</v>
      </c>
      <c r="K8" s="6">
        <f>J8-'2025年18周'!J8</f>
        <v>1</v>
      </c>
      <c r="L8" s="77">
        <f t="array" ref="L8">SUM((LOOKUP(ROW($45:$182),IF($A$45:$A$182&lt;&gt;"",ROW($45:$182)),$A$45:$A$182)=B8)*$L$45:$L$182)</f>
        <v>5543</v>
      </c>
      <c r="M8" s="76">
        <f>(L8-'2025年18周'!L8)/'2025年18周'!L8</f>
        <v>1.1712</v>
      </c>
      <c r="N8" s="75">
        <f t="shared" si="6"/>
        <v>369.53</v>
      </c>
      <c r="O8" s="76">
        <f>(N8-'2025年18周'!N8)/'2025年18周'!N8</f>
        <v>1.0264</v>
      </c>
      <c r="P8" s="78">
        <f t="array" ref="P8">SUM((LOOKUP(ROW($45:$182),IF($A$45:$A$182&lt;&gt;"",ROW($45:$182)),$A$45:$A$182)=B8)*$P$45:$P$182)</f>
        <v>0</v>
      </c>
      <c r="Q8" s="44">
        <f>SUMIFS(第19周周填报数据!D:D,第19周周填报数据!B:B,B8,第19周周填报数据!I:I,"堆场仓储板块")</f>
        <v>69338</v>
      </c>
      <c r="R8" s="44">
        <f>SUMIFS(第19周周填报数据!D:D,第19周周填报数据!B:B,B8,第19周周填报数据!I:I,"&lt;&gt;堆场仓储板块")</f>
        <v>10395</v>
      </c>
      <c r="S8" s="3"/>
      <c r="T8" s="168">
        <f t="shared" si="7"/>
        <v>1550</v>
      </c>
      <c r="U8" s="75">
        <f t="shared" si="0"/>
        <v>538522.09</v>
      </c>
      <c r="V8" s="77">
        <f t="shared" si="1"/>
        <v>16829</v>
      </c>
      <c r="W8" s="45">
        <v>32</v>
      </c>
      <c r="X8" s="3">
        <v>1500</v>
      </c>
      <c r="Y8" s="145">
        <f t="shared" si="2"/>
        <v>50</v>
      </c>
      <c r="Z8" s="3">
        <f ca="1" t="shared" si="3"/>
        <v>28500</v>
      </c>
      <c r="AA8" s="3">
        <f>自营2026周完成情况!BB39</f>
        <v>39046</v>
      </c>
      <c r="AB8" s="169">
        <f ca="1" t="shared" si="4"/>
        <v>10546</v>
      </c>
      <c r="AC8" s="104"/>
    </row>
    <row r="9" s="163" customFormat="1" spans="1:29">
      <c r="A9" s="9"/>
      <c r="B9" s="8" t="s">
        <v>9</v>
      </c>
      <c r="C9" s="8">
        <f t="array" ref="C9">SUM((LOOKUP(ROW($45:$182),IF($A$45:$A$182&lt;&gt;"",ROW($45:$182)),$A$45:$A$182)=B9)*$C$45:$C$182)</f>
        <v>150</v>
      </c>
      <c r="D9" s="8">
        <f>C9-'2025年18周'!C9</f>
        <v>-96</v>
      </c>
      <c r="E9" s="80">
        <f t="array" ref="E9">SUM((LOOKUP(ROW($45:$182),IF($A$45:$A$182&lt;&gt;"",ROW($45:$182)),$A$45:$A$182)=B9)*$E$45:$E$182)</f>
        <v>32503.36</v>
      </c>
      <c r="F9" s="81">
        <f>(E9-'2025年18周'!E9)/'2025年18周'!E9</f>
        <v>-0.2248</v>
      </c>
      <c r="G9" s="80">
        <f t="shared" si="5"/>
        <v>216.69</v>
      </c>
      <c r="H9" s="81">
        <f>(G9-'2025年18周'!G9)/'2025年18周'!G9</f>
        <v>0.2714</v>
      </c>
      <c r="I9" s="8">
        <f t="array" ref="I9">SUM((LOOKUP(ROW($45:$182),IF($A$45:$A$182&lt;&gt;"",ROW($45:$182)),$A$45:$A$182)=B9)*$I$45:$I$182)</f>
        <v>5689.9952</v>
      </c>
      <c r="J9" s="8">
        <f t="array" ref="J9">SUM((LOOKUP(ROW($45:$182),IF($A$45:$A$182&lt;&gt;"",ROW($45:$182)),$A$45:$A$182)=B9)*$J$45:$J$182)</f>
        <v>40</v>
      </c>
      <c r="K9" s="8">
        <f>J9-'2025年18周'!J9</f>
        <v>-382</v>
      </c>
      <c r="L9" s="82">
        <f t="array" ref="L9">SUM((LOOKUP(ROW($45:$182),IF($A$45:$A$182&lt;&gt;"",ROW($45:$182)),$A$45:$A$182)=B9)*$L$45:$L$182)</f>
        <v>12625</v>
      </c>
      <c r="M9" s="81">
        <f>(L9-'2025年18周'!L9)/'2025年18周'!L9</f>
        <v>-0.7518</v>
      </c>
      <c r="N9" s="80">
        <f t="shared" si="6"/>
        <v>315.63</v>
      </c>
      <c r="O9" s="81">
        <f>(N9-'2025年18周'!N9)/'2025年18周'!N9</f>
        <v>1.6182</v>
      </c>
      <c r="P9" s="83">
        <f t="array" ref="P9">SUM((LOOKUP(ROW($45:$182),IF($A$45:$A$182&lt;&gt;"",ROW($45:$182)),$A$45:$A$182)=B9)*$P$45:$P$182)</f>
        <v>728.33</v>
      </c>
      <c r="Q9" s="51">
        <f>SUMIFS(第19周周填报数据!D:D,第19周周填报数据!B:B,B9,第19周周填报数据!I:I,"堆场仓储板块")+SUMIFS(第19周周填报数据!D:D,第19周周填报数据!B:B,"市场部拆装箱",第19周周填报数据!I:I,"堆场仓储板块")</f>
        <v>48988</v>
      </c>
      <c r="R9" s="51">
        <f>SUMIFS(第19周周填报数据!D:D,第19周周填报数据!B:B,B9,第19周周填报数据!I:I,"&lt;&gt;堆场仓储板块")+SUMIFS(第19周周填报数据!D:D,第19周周填报数据!B:B,"市场部拆装箱",第19周周填报数据!I:I,"&lt;&gt;堆场仓储板块")</f>
        <v>121715</v>
      </c>
      <c r="S9" s="9">
        <v>0</v>
      </c>
      <c r="T9" s="168">
        <f t="shared" si="7"/>
        <v>190</v>
      </c>
      <c r="U9" s="80">
        <f t="shared" si="0"/>
        <v>222249.69</v>
      </c>
      <c r="V9" s="82">
        <f t="shared" si="1"/>
        <v>12347</v>
      </c>
      <c r="W9" s="52">
        <v>18</v>
      </c>
      <c r="X9" s="9">
        <v>600</v>
      </c>
      <c r="Y9" s="148">
        <f t="shared" si="2"/>
        <v>-410</v>
      </c>
      <c r="Z9" s="9">
        <f ca="1" t="shared" si="3"/>
        <v>11400</v>
      </c>
      <c r="AA9" s="9">
        <f>自营2026周完成情况!BB40</f>
        <v>11367</v>
      </c>
      <c r="AB9" s="170">
        <f ca="1" t="shared" si="4"/>
        <v>-33</v>
      </c>
      <c r="AC9" s="171"/>
    </row>
    <row r="10" s="164" customFormat="1" ht="16.15" customHeight="1" spans="1:29">
      <c r="A10" s="53"/>
      <c r="B10" s="12" t="s">
        <v>205</v>
      </c>
      <c r="C10" s="12">
        <f>SUM(C4:C9)</f>
        <v>6507</v>
      </c>
      <c r="D10" s="12">
        <f>C10-'2025年18周'!C10</f>
        <v>-2656</v>
      </c>
      <c r="E10" s="85">
        <f>SUM(E4:E9)</f>
        <v>1420615.57</v>
      </c>
      <c r="F10" s="86">
        <f>(E10-'2025年18周'!E10)/'2025年18周'!E10</f>
        <v>-0.3406</v>
      </c>
      <c r="G10" s="85">
        <f t="shared" si="5"/>
        <v>218.32</v>
      </c>
      <c r="H10" s="86">
        <f>(G10-'2025年18周'!G10)/'2025年18周'!G10</f>
        <v>-0.0714</v>
      </c>
      <c r="I10" s="12">
        <f>SUM(I4:I9)</f>
        <v>265245.1886</v>
      </c>
      <c r="J10" s="12">
        <f>SUM(J4:J9)</f>
        <v>321</v>
      </c>
      <c r="K10" s="12">
        <f>J10-'2025年18周'!J10</f>
        <v>-686</v>
      </c>
      <c r="L10" s="87">
        <f>SUM(L4:L9)</f>
        <v>84264</v>
      </c>
      <c r="M10" s="86">
        <f>(L10-'2025年18周'!L10)/'2025年18周'!L10</f>
        <v>-0.6462</v>
      </c>
      <c r="N10" s="85">
        <f t="shared" si="6"/>
        <v>262.5</v>
      </c>
      <c r="O10" s="86">
        <f>(N10-'2025年18周'!N10)/'2025年18周'!N10</f>
        <v>0.1097</v>
      </c>
      <c r="P10" s="88">
        <f t="shared" ref="P10:U10" si="8">SUM(P4:P9)</f>
        <v>13534.08</v>
      </c>
      <c r="Q10" s="59">
        <f t="shared" si="8"/>
        <v>233439.06</v>
      </c>
      <c r="R10" s="59">
        <f t="shared" si="8"/>
        <v>154245</v>
      </c>
      <c r="S10" s="59">
        <f t="shared" si="8"/>
        <v>0</v>
      </c>
      <c r="T10" s="172">
        <f t="shared" si="8"/>
        <v>6828</v>
      </c>
      <c r="U10" s="85">
        <f t="shared" si="8"/>
        <v>2171342.91</v>
      </c>
      <c r="V10" s="87">
        <f t="shared" si="1"/>
        <v>10644</v>
      </c>
      <c r="W10" s="60">
        <f>SUM(W4:W9)</f>
        <v>204</v>
      </c>
      <c r="X10" s="53">
        <v>9600</v>
      </c>
      <c r="Y10" s="173">
        <f t="shared" si="2"/>
        <v>-2772</v>
      </c>
      <c r="Z10" s="53">
        <f ca="1">SUM(Z4:Z9)</f>
        <v>182400</v>
      </c>
      <c r="AA10" s="53">
        <f>自营2026周完成情况!BB41</f>
        <v>174900</v>
      </c>
      <c r="AB10" s="174">
        <f ca="1" t="shared" si="4"/>
        <v>-7500</v>
      </c>
      <c r="AC10" s="175"/>
    </row>
    <row r="11" spans="1:29">
      <c r="A11" s="10" t="s">
        <v>206</v>
      </c>
      <c r="B11" s="6" t="s">
        <v>55</v>
      </c>
      <c r="C11" s="6">
        <f t="array" ref="C11">SUM((LOOKUP(ROW($45:$182),IF($A$45:$A$182&lt;&gt;"",ROW($45:$182)),$A$45:$A$182)=B11)*$C$45:$C$182)</f>
        <v>1360</v>
      </c>
      <c r="D11" s="6">
        <f>C11-'2025年18周'!C11</f>
        <v>-1152</v>
      </c>
      <c r="E11" s="75">
        <f t="array" ref="E11">SUM((LOOKUP(ROW($45:$182),IF($A$45:$A$182&lt;&gt;"",ROW($45:$182)),$A$45:$A$182)=B11)*$E$45:$E$182)</f>
        <v>336980.69</v>
      </c>
      <c r="F11" s="76">
        <f>(E11-'2025年18周'!E11)/'2025年18周'!E11</f>
        <v>-0.5242</v>
      </c>
      <c r="G11" s="75">
        <f t="shared" si="5"/>
        <v>247.78</v>
      </c>
      <c r="H11" s="76">
        <f>(G11-'2025年18周'!G11)/'2025年18周'!G11</f>
        <v>-0.1213</v>
      </c>
      <c r="I11" s="6">
        <f t="array" ref="I11">SUM((LOOKUP(ROW($45:$182),IF($A$45:$A$182&lt;&gt;"",ROW($45:$182)),$A$45:$A$182)=B11)*$I$45:$I$182)</f>
        <v>49615.6002</v>
      </c>
      <c r="J11" s="6">
        <f t="array" ref="J11">SUM((LOOKUP(ROW($45:$182),IF($A$45:$A$182&lt;&gt;"",ROW($45:$182)),$A$45:$A$182)=B11)*$J$45:$J$182)</f>
        <v>0</v>
      </c>
      <c r="K11" s="6">
        <f>J11-'2025年18周'!J11</f>
        <v>-20</v>
      </c>
      <c r="L11" s="77">
        <f t="array" ref="L11">SUM((LOOKUP(ROW($45:$182),IF($A$45:$A$182&lt;&gt;"",ROW($45:$182)),$A$45:$A$182)=B11)*$L$45:$L$182)</f>
        <v>0</v>
      </c>
      <c r="M11" s="76">
        <f>(L11-'2025年18周'!L11)/'2025年18周'!L11</f>
        <v>-1</v>
      </c>
      <c r="N11" s="75" t="e">
        <f t="shared" si="6"/>
        <v>#DIV/0!</v>
      </c>
      <c r="O11" s="76" t="e">
        <f>(N11-'2025年18周'!N11)/'2025年18周'!N11</f>
        <v>#DIV/0!</v>
      </c>
      <c r="P11" s="78">
        <f t="array" ref="P11">SUM((LOOKUP(ROW($45:$182),IF($A$45:$A$182&lt;&gt;"",ROW($45:$182)),$A$45:$A$182)=B11)*$P$45:$P$182)</f>
        <v>8684.86</v>
      </c>
      <c r="Q11" s="3"/>
      <c r="R11" s="3"/>
      <c r="S11" s="3"/>
      <c r="T11" s="168">
        <f t="shared" si="7"/>
        <v>1360</v>
      </c>
      <c r="U11" s="75">
        <f>E11+L11+I11+P11+Q11+R11+S11</f>
        <v>395281.15</v>
      </c>
      <c r="V11" s="91"/>
      <c r="W11" s="92"/>
      <c r="X11" s="20"/>
      <c r="Y11" s="20"/>
      <c r="Z11" s="20"/>
      <c r="AA11" s="20"/>
      <c r="AB11" s="20"/>
    </row>
    <row r="12" spans="1:29">
      <c r="A12" s="61"/>
      <c r="B12" s="6" t="s">
        <v>76</v>
      </c>
      <c r="C12" s="6">
        <f t="array" ref="C12">SUM((LOOKUP(ROW($45:$182),IF($A$45:$A$182&lt;&gt;"",ROW($45:$182)),$A$45:$A$182)=B12)*$C$45:$C$182)</f>
        <v>706</v>
      </c>
      <c r="D12" s="6">
        <f>C12-'2025年18周'!C12</f>
        <v>8</v>
      </c>
      <c r="E12" s="75">
        <f t="array" ref="E12">SUM((LOOKUP(ROW($45:$182),IF($A$45:$A$182&lt;&gt;"",ROW($45:$182)),$A$45:$A$182)=B12)*$E$45:$E$182)</f>
        <v>180154.38</v>
      </c>
      <c r="F12" s="76">
        <f>(E12-'2025年18周'!E12)/'2025年18周'!E12</f>
        <v>0.1154</v>
      </c>
      <c r="G12" s="75">
        <f t="shared" si="5"/>
        <v>255.18</v>
      </c>
      <c r="H12" s="76">
        <f>(G12-'2025年18周'!G12)/'2025年18周'!G12</f>
        <v>0.1028</v>
      </c>
      <c r="I12" s="6">
        <f t="array" ref="I12">SUM((LOOKUP(ROW($45:$182),IF($A$45:$A$182&lt;&gt;"",ROW($45:$182)),$A$45:$A$182)=B12)*$I$45:$I$182)</f>
        <v>27416.6562</v>
      </c>
      <c r="J12" s="6">
        <f t="array" ref="J12">SUM((LOOKUP(ROW($45:$182),IF($A$45:$A$182&lt;&gt;"",ROW($45:$182)),$A$45:$A$182)=B12)*$J$45:$J$182)</f>
        <v>9</v>
      </c>
      <c r="K12" s="6">
        <f>J12-'2025年18周'!J12</f>
        <v>5</v>
      </c>
      <c r="L12" s="77">
        <f t="array" ref="L12">SUM((LOOKUP(ROW($45:$182),IF($A$45:$A$182&lt;&gt;"",ROW($45:$182)),$A$45:$A$182)=B12)*$L$45:$L$182)</f>
        <v>3734</v>
      </c>
      <c r="M12" s="76">
        <f>(L12-'2025年18周'!L12)/'2025年18周'!L12</f>
        <v>0.8783</v>
      </c>
      <c r="N12" s="75">
        <f t="shared" si="6"/>
        <v>414.89</v>
      </c>
      <c r="O12" s="76">
        <f>(N12-'2025年18周'!N12)/'2025年18周'!N12</f>
        <v>-0.1652</v>
      </c>
      <c r="P12" s="78">
        <f t="array" ref="P12">SUM((LOOKUP(ROW($45:$182),IF($A$45:$A$182&lt;&gt;"",ROW($45:$182)),$A$45:$A$182)=B12)*$P$45:$P$182)</f>
        <v>158.6</v>
      </c>
      <c r="Q12" s="3"/>
      <c r="R12" s="3"/>
      <c r="S12" s="3"/>
      <c r="T12" s="168">
        <f t="shared" si="7"/>
        <v>715</v>
      </c>
      <c r="U12" s="75">
        <f t="shared" ref="U12:U34" si="9">E12+L12+I12+P12+Q12+R12+S12</f>
        <v>211463.64</v>
      </c>
      <c r="V12" s="93"/>
      <c r="W12" s="6"/>
      <c r="X12" s="3"/>
      <c r="Y12" s="3"/>
      <c r="Z12" s="3"/>
      <c r="AA12" s="3"/>
      <c r="AB12" s="3"/>
    </row>
    <row r="13" spans="1:29">
      <c r="A13" s="61"/>
      <c r="B13" s="6" t="s">
        <v>83</v>
      </c>
      <c r="C13" s="6">
        <f t="array" ref="C13">SUM((LOOKUP(ROW($45:$182),IF($A$45:$A$182&lt;&gt;"",ROW($45:$182)),$A$45:$A$182)=B13)*$C$45:$C$182)</f>
        <v>478</v>
      </c>
      <c r="D13" s="6">
        <f>C13-'2025年18周'!C13</f>
        <v>-139</v>
      </c>
      <c r="E13" s="75">
        <f t="array" ref="E13">SUM((LOOKUP(ROW($45:$182),IF($A$45:$A$182&lt;&gt;"",ROW($45:$182)),$A$45:$A$182)=B13)*$E$45:$E$182)</f>
        <v>63454.18</v>
      </c>
      <c r="F13" s="76">
        <f>(E13-'2025年18周'!E13)/'2025年18周'!E13</f>
        <v>-0.5239</v>
      </c>
      <c r="G13" s="75">
        <f t="shared" si="5"/>
        <v>132.75</v>
      </c>
      <c r="H13" s="76">
        <f>(G13-'2025年18周'!G13)/'2025年18周'!G13</f>
        <v>-0.3855</v>
      </c>
      <c r="I13" s="6">
        <f t="array" ref="I13">SUM((LOOKUP(ROW($45:$182),IF($A$45:$A$182&lt;&gt;"",ROW($45:$182)),$A$45:$A$182)=B13)*$I$45:$I$182)</f>
        <v>30169.9956</v>
      </c>
      <c r="J13" s="6">
        <f t="array" ref="J13">SUM((LOOKUP(ROW($45:$182),IF($A$45:$A$182&lt;&gt;"",ROW($45:$182)),$A$45:$A$182)=B13)*$J$45:$J$182)</f>
        <v>4</v>
      </c>
      <c r="K13" s="6">
        <f>J13-'2025年18周'!J13</f>
        <v>-47</v>
      </c>
      <c r="L13" s="77">
        <f t="array" ref="L13">SUM((LOOKUP(ROW($45:$182),IF($A$45:$A$182&lt;&gt;"",ROW($45:$182)),$A$45:$A$182)=B13)*$L$45:$L$182)</f>
        <v>1039</v>
      </c>
      <c r="M13" s="76">
        <f>(L13-'2025年18周'!L13)/'2025年18周'!L13</f>
        <v>-0.9227</v>
      </c>
      <c r="N13" s="75">
        <f t="shared" si="6"/>
        <v>259.75</v>
      </c>
      <c r="O13" s="76">
        <f>(N13-'2025年18周'!N13)/'2025年18周'!N13</f>
        <v>-0.015</v>
      </c>
      <c r="P13" s="78">
        <f t="array" ref="P13">SUM((LOOKUP(ROW($45:$182),IF($A$45:$A$182&lt;&gt;"",ROW($45:$182)),$A$45:$A$182)=B13)*$P$45:$P$182)</f>
        <v>0</v>
      </c>
      <c r="Q13" s="3"/>
      <c r="R13" s="3"/>
      <c r="S13" s="3"/>
      <c r="T13" s="168">
        <f t="shared" si="7"/>
        <v>482</v>
      </c>
      <c r="U13" s="75">
        <f t="shared" si="9"/>
        <v>94663.18</v>
      </c>
      <c r="V13" s="93"/>
      <c r="W13" s="6"/>
      <c r="X13" s="3"/>
      <c r="Y13" s="3"/>
      <c r="Z13" s="3"/>
      <c r="AA13" s="3"/>
      <c r="AB13" s="3"/>
    </row>
    <row r="14" spans="1:29">
      <c r="A14" s="61"/>
      <c r="B14" s="6" t="s">
        <v>98</v>
      </c>
      <c r="C14" s="6">
        <f t="array" ref="C14">SUM((LOOKUP(ROW($45:$182),IF($A$45:$A$182&lt;&gt;"",ROW($45:$182)),$A$45:$A$182)=B14)*$C$45:$C$182)</f>
        <v>295</v>
      </c>
      <c r="D14" s="6">
        <f>C14-'2025年18周'!C14</f>
        <v>-45</v>
      </c>
      <c r="E14" s="75">
        <f t="array" ref="E14">SUM((LOOKUP(ROW($45:$182),IF($A$45:$A$182&lt;&gt;"",ROW($45:$182)),$A$45:$A$182)=B14)*$E$45:$E$182)</f>
        <v>28237.5</v>
      </c>
      <c r="F14" s="76">
        <f>(E14-'2025年18周'!E14)/'2025年18周'!E14</f>
        <v>-0.4264</v>
      </c>
      <c r="G14" s="75">
        <f t="shared" si="5"/>
        <v>95.72</v>
      </c>
      <c r="H14" s="76">
        <f>(G14-'2025年18周'!G14)/'2025年18周'!G14</f>
        <v>-0.3389</v>
      </c>
      <c r="I14" s="6">
        <f t="array" ref="I14">SUM((LOOKUP(ROW($45:$182),IF($A$45:$A$182&lt;&gt;"",ROW($45:$182)),$A$45:$A$182)=B14)*$I$45:$I$182)</f>
        <v>18624.995</v>
      </c>
      <c r="J14" s="6">
        <f t="array" ref="J14">SUM((LOOKUP(ROW($45:$182),IF($A$45:$A$182&lt;&gt;"",ROW($45:$182)),$A$45:$A$182)=B14)*$J$45:$J$182)</f>
        <v>0</v>
      </c>
      <c r="K14" s="6">
        <f>J14-'2025年18周'!J14</f>
        <v>0</v>
      </c>
      <c r="L14" s="77">
        <f t="array" ref="L14">SUM((LOOKUP(ROW($45:$182),IF($A$45:$A$182&lt;&gt;"",ROW($45:$182)),$A$45:$A$182)=B14)*$L$45:$L$182)</f>
        <v>0</v>
      </c>
      <c r="M14" s="76" t="e">
        <f>(L14-'2025年18周'!L14)/'2025年18周'!L14</f>
        <v>#DIV/0!</v>
      </c>
      <c r="N14" s="75" t="e">
        <f t="shared" si="6"/>
        <v>#DIV/0!</v>
      </c>
      <c r="O14" s="76" t="e">
        <f>(N14-'2025年18周'!N14)/'2025年18周'!N14</f>
        <v>#DIV/0!</v>
      </c>
      <c r="P14" s="78">
        <f t="array" ref="P14">SUM((LOOKUP(ROW($45:$182),IF($A$45:$A$182&lt;&gt;"",ROW($45:$182)),$A$45:$A$182)=B14)*$P$45:$P$182)</f>
        <v>0</v>
      </c>
      <c r="Q14" s="3"/>
      <c r="R14" s="3"/>
      <c r="S14" s="3"/>
      <c r="T14" s="168">
        <f t="shared" si="7"/>
        <v>295</v>
      </c>
      <c r="U14" s="75">
        <f t="shared" si="9"/>
        <v>46862.5</v>
      </c>
      <c r="V14" s="93"/>
      <c r="W14" s="6"/>
      <c r="X14" s="3"/>
      <c r="Y14" s="3"/>
      <c r="Z14" s="3"/>
      <c r="AA14" s="3"/>
      <c r="AB14" s="3"/>
    </row>
    <row r="15" spans="1:29">
      <c r="A15" s="61"/>
      <c r="B15" s="6" t="s">
        <v>108</v>
      </c>
      <c r="C15" s="6">
        <f t="array" ref="C15">SUM((LOOKUP(ROW($45:$182),IF($A$45:$A$182&lt;&gt;"",ROW($45:$182)),$A$45:$A$182)=B15)*$C$45:$C$182)</f>
        <v>313</v>
      </c>
      <c r="D15" s="6">
        <f>C15-'2025年18周'!C15</f>
        <v>-13</v>
      </c>
      <c r="E15" s="75">
        <f t="array" ref="E15">SUM((LOOKUP(ROW($45:$182),IF($A$45:$A$182&lt;&gt;"",ROW($45:$182)),$A$45:$A$182)=B15)*$E$45:$E$182)</f>
        <v>70417.13</v>
      </c>
      <c r="F15" s="76">
        <f>(E15-'2025年18周'!E15)/'2025年18周'!E15</f>
        <v>-0.0661</v>
      </c>
      <c r="G15" s="75">
        <f t="shared" si="5"/>
        <v>224.97</v>
      </c>
      <c r="H15" s="76">
        <f>(G15-'2025年18周'!G15)/'2025年18周'!G15</f>
        <v>-0.0273</v>
      </c>
      <c r="I15" s="6">
        <f t="array" ref="I15">SUM((LOOKUP(ROW($45:$182),IF($A$45:$A$182&lt;&gt;"",ROW($45:$182)),$A$45:$A$182)=B15)*$I$45:$I$182)</f>
        <v>17575.913</v>
      </c>
      <c r="J15" s="6">
        <f t="array" ref="J15">SUM((LOOKUP(ROW($45:$182),IF($A$45:$A$182&lt;&gt;"",ROW($45:$182)),$A$45:$A$182)=B15)*$J$45:$J$182)</f>
        <v>0</v>
      </c>
      <c r="K15" s="6">
        <f>J15-'2025年18周'!J15</f>
        <v>0</v>
      </c>
      <c r="L15" s="77">
        <f t="array" ref="L15">SUM((LOOKUP(ROW($45:$182),IF($A$45:$A$182&lt;&gt;"",ROW($45:$182)),$A$45:$A$182)=B15)*$L$45:$L$182)</f>
        <v>0</v>
      </c>
      <c r="M15" s="76" t="e">
        <f>(L15-'2025年18周'!L15)/'2025年18周'!L15</f>
        <v>#DIV/0!</v>
      </c>
      <c r="N15" s="75" t="e">
        <f t="shared" si="6"/>
        <v>#DIV/0!</v>
      </c>
      <c r="O15" s="76" t="e">
        <f>(N15-'2025年18周'!N15)/'2025年18周'!N15</f>
        <v>#DIV/0!</v>
      </c>
      <c r="P15" s="78">
        <f t="array" ref="P15">SUM((LOOKUP(ROW($45:$182),IF($A$45:$A$182&lt;&gt;"",ROW($45:$182)),$A$45:$A$182)=B15)*$P$45:$P$182)</f>
        <v>0</v>
      </c>
      <c r="Q15" s="3"/>
      <c r="R15" s="3"/>
      <c r="S15" s="3"/>
      <c r="T15" s="168">
        <f t="shared" si="7"/>
        <v>313</v>
      </c>
      <c r="U15" s="75">
        <f t="shared" si="9"/>
        <v>87993.04</v>
      </c>
      <c r="V15" s="93"/>
      <c r="W15" s="6"/>
      <c r="X15" s="3"/>
      <c r="Y15" s="3"/>
      <c r="Z15" s="3"/>
      <c r="AA15" s="3"/>
      <c r="AB15" s="3"/>
    </row>
    <row r="16" spans="1:29">
      <c r="A16" s="61"/>
      <c r="B16" s="6" t="s">
        <v>117</v>
      </c>
      <c r="C16" s="6">
        <f t="array" ref="C16">SUM((LOOKUP(ROW($45:$182),IF($A$45:$A$182&lt;&gt;"",ROW($45:$182)),$A$45:$A$182)=B16)*$C$45:$C$182)</f>
        <v>18</v>
      </c>
      <c r="D16" s="6">
        <f>C16-'2025年18周'!C16</f>
        <v>0</v>
      </c>
      <c r="E16" s="75">
        <f t="array" ref="E16">SUM((LOOKUP(ROW($45:$182),IF($A$45:$A$182&lt;&gt;"",ROW($45:$182)),$A$45:$A$182)=B16)*$E$45:$E$182)</f>
        <v>7671.77</v>
      </c>
      <c r="F16" s="76">
        <f>(E16-'2025年18周'!E16)/'2025年18周'!E16</f>
        <v>1.0272</v>
      </c>
      <c r="G16" s="75">
        <f t="shared" si="5"/>
        <v>426.21</v>
      </c>
      <c r="H16" s="76">
        <f>(G16-'2025年18周'!G16)/'2025年18周'!G16</f>
        <v>1.0273</v>
      </c>
      <c r="I16" s="6">
        <f t="array" ref="I16">SUM((LOOKUP(ROW($45:$182),IF($A$45:$A$182&lt;&gt;"",ROW($45:$182)),$A$45:$A$182)=B16)*$I$45:$I$182)</f>
        <v>1090.0192</v>
      </c>
      <c r="J16" s="6">
        <f t="array" ref="J16">SUM((LOOKUP(ROW($45:$182),IF($A$45:$A$182&lt;&gt;"",ROW($45:$182)),$A$45:$A$182)=B16)*$J$45:$J$182)</f>
        <v>0</v>
      </c>
      <c r="K16" s="6">
        <f>J16-'2025年18周'!J16</f>
        <v>0</v>
      </c>
      <c r="L16" s="77">
        <f t="array" ref="L16">SUM((LOOKUP(ROW($45:$182),IF($A$45:$A$182&lt;&gt;"",ROW($45:$182)),$A$45:$A$182)=B16)*$L$45:$L$182)</f>
        <v>0</v>
      </c>
      <c r="M16" s="76" t="e">
        <f>(L16-'2025年18周'!L16)/'2025年18周'!L16</f>
        <v>#DIV/0!</v>
      </c>
      <c r="N16" s="75" t="e">
        <f t="shared" si="6"/>
        <v>#DIV/0!</v>
      </c>
      <c r="O16" s="76" t="e">
        <f>(N16-'2025年18周'!N16)/'2025年18周'!N16</f>
        <v>#DIV/0!</v>
      </c>
      <c r="P16" s="78">
        <f t="array" ref="P16">SUM((LOOKUP(ROW($45:$182),IF($A$45:$A$182&lt;&gt;"",ROW($45:$182)),$A$45:$A$182)=B16)*$P$45:$P$182)</f>
        <v>0</v>
      </c>
      <c r="Q16" s="3"/>
      <c r="R16" s="3"/>
      <c r="S16" s="3"/>
      <c r="T16" s="168">
        <f t="shared" si="7"/>
        <v>18</v>
      </c>
      <c r="U16" s="75">
        <f t="shared" si="9"/>
        <v>8761.79</v>
      </c>
      <c r="V16" s="93"/>
      <c r="W16" s="6"/>
      <c r="X16" s="3"/>
      <c r="Y16" s="3"/>
      <c r="Z16" s="3"/>
      <c r="AA16" s="3"/>
      <c r="AB16" s="3"/>
    </row>
    <row r="17" spans="1:28">
      <c r="A17" s="61"/>
      <c r="B17" s="6" t="s">
        <v>126</v>
      </c>
      <c r="C17" s="6">
        <f t="array" ref="C17">SUM((LOOKUP(ROW($45:$182),IF($A$45:$A$182&lt;&gt;"",ROW($45:$182)),$A$45:$A$182)=B17)*$C$45:$C$182)</f>
        <v>722</v>
      </c>
      <c r="D17" s="6">
        <f>C17-'2025年18周'!C17</f>
        <v>2</v>
      </c>
      <c r="E17" s="75">
        <f t="array" ref="E17">SUM((LOOKUP(ROW($45:$182),IF($A$45:$A$182&lt;&gt;"",ROW($45:$182)),$A$45:$A$182)=B17)*$E$45:$E$182)</f>
        <v>206348.91</v>
      </c>
      <c r="F17" s="76">
        <f>(E17-'2025年18周'!E17)/'2025年18周'!E17</f>
        <v>0.0563</v>
      </c>
      <c r="G17" s="75">
        <f t="shared" si="5"/>
        <v>285.8</v>
      </c>
      <c r="H17" s="76">
        <f>(G17-'2025年18周'!G17)/'2025年18周'!G17</f>
        <v>0.0533</v>
      </c>
      <c r="I17" s="6">
        <f t="array" ref="I17">SUM((LOOKUP(ROW($45:$182),IF($A$45:$A$182&lt;&gt;"",ROW($45:$182)),$A$45:$A$182)=B17)*$I$45:$I$182)</f>
        <v>52706.9948</v>
      </c>
      <c r="J17" s="6">
        <f t="array" ref="J17">SUM((LOOKUP(ROW($45:$182),IF($A$45:$A$182&lt;&gt;"",ROW($45:$182)),$A$45:$A$182)=B17)*$J$45:$J$182)</f>
        <v>0</v>
      </c>
      <c r="K17" s="6">
        <f>J17-'2025年18周'!J17</f>
        <v>-3</v>
      </c>
      <c r="L17" s="77">
        <f t="array" ref="L17">SUM((LOOKUP(ROW($45:$182),IF($A$45:$A$182&lt;&gt;"",ROW($45:$182)),$A$45:$A$182)=B17)*$L$45:$L$182)</f>
        <v>0</v>
      </c>
      <c r="M17" s="76">
        <f>(L17-'2025年18周'!L17)/'2025年18周'!L17</f>
        <v>-1</v>
      </c>
      <c r="N17" s="75" t="e">
        <f t="shared" si="6"/>
        <v>#DIV/0!</v>
      </c>
      <c r="O17" s="76" t="e">
        <f>(N17-'2025年18周'!N17)/'2025年18周'!N17</f>
        <v>#DIV/0!</v>
      </c>
      <c r="P17" s="78">
        <f t="array" ref="P17">SUM((LOOKUP(ROW($45:$182),IF($A$45:$A$182&lt;&gt;"",ROW($45:$182)),$A$45:$A$182)=B17)*$P$45:$P$182)</f>
        <v>0</v>
      </c>
      <c r="Q17" s="3"/>
      <c r="R17" s="3"/>
      <c r="S17" s="3"/>
      <c r="T17" s="168">
        <f t="shared" si="7"/>
        <v>722</v>
      </c>
      <c r="U17" s="75">
        <f t="shared" si="9"/>
        <v>259055.9</v>
      </c>
      <c r="V17" s="93"/>
      <c r="W17" s="6"/>
      <c r="X17" s="3"/>
      <c r="Y17" s="176"/>
      <c r="Z17" s="176"/>
      <c r="AA17" s="3"/>
      <c r="AB17" s="3"/>
    </row>
    <row r="18" ht="18" customHeight="1" spans="1:28">
      <c r="A18" s="61"/>
      <c r="B18" s="6" t="s">
        <v>68</v>
      </c>
      <c r="C18" s="6">
        <f t="array" ref="C18">SUM((LOOKUP(ROW($45:$182),IF($A$45:$A$182&lt;&gt;"",ROW($45:$182)),$A$45:$A$182)=B18)*$C$45:$C$182)</f>
        <v>576</v>
      </c>
      <c r="D18" s="6">
        <f>C18-'2025年18周'!C18</f>
        <v>-67</v>
      </c>
      <c r="E18" s="75">
        <f t="array" ref="E18">SUM((LOOKUP(ROW($45:$182),IF($A$45:$A$182&lt;&gt;"",ROW($45:$182)),$A$45:$A$182)=B18)*$E$45:$E$182)</f>
        <v>158850.28</v>
      </c>
      <c r="F18" s="76">
        <f>(E18-'2025年18周'!E18)/'2025年18周'!E18</f>
        <v>-0.1194</v>
      </c>
      <c r="G18" s="75">
        <f t="shared" si="5"/>
        <v>275.78</v>
      </c>
      <c r="H18" s="76">
        <f>(G18-'2025年18周'!G18)/'2025年18周'!G18</f>
        <v>-0.017</v>
      </c>
      <c r="I18" s="6">
        <f t="array" ref="I18">SUM((LOOKUP(ROW($45:$182),IF($A$45:$A$182&lt;&gt;"",ROW($45:$182)),$A$45:$A$182)=B18)*$I$45:$I$182)</f>
        <v>34420.8076</v>
      </c>
      <c r="J18" s="6">
        <f t="array" ref="J18">SUM((LOOKUP(ROW($45:$182),IF($A$45:$A$182&lt;&gt;"",ROW($45:$182)),$A$45:$A$182)=B18)*$J$45:$J$182)</f>
        <v>0</v>
      </c>
      <c r="K18" s="6">
        <f>J18-'2025年18周'!J18</f>
        <v>0</v>
      </c>
      <c r="L18" s="77">
        <f t="array" ref="L18">SUM((LOOKUP(ROW($45:$182),IF($A$45:$A$182&lt;&gt;"",ROW($45:$182)),$A$45:$A$182)=B18)*$L$45:$L$182)</f>
        <v>0</v>
      </c>
      <c r="M18" s="76" t="e">
        <f>(L18-'2025年18周'!L18)/'2025年18周'!L18</f>
        <v>#DIV/0!</v>
      </c>
      <c r="N18" s="75" t="e">
        <f t="shared" si="6"/>
        <v>#DIV/0!</v>
      </c>
      <c r="O18" s="76" t="e">
        <f>(N18-'2025年18周'!N18)/'2025年18周'!N18</f>
        <v>#DIV/0!</v>
      </c>
      <c r="P18" s="78">
        <f t="array" ref="P18">SUM((LOOKUP(ROW($45:$182),IF($A$45:$A$182&lt;&gt;"",ROW($45:$182)),$A$45:$A$182)=B18)*$P$45:$P$182)</f>
        <v>0</v>
      </c>
      <c r="Q18" s="3"/>
      <c r="R18" s="3"/>
      <c r="S18" s="3"/>
      <c r="T18" s="168">
        <f t="shared" si="7"/>
        <v>576</v>
      </c>
      <c r="U18" s="75">
        <f t="shared" si="9"/>
        <v>193271.09</v>
      </c>
      <c r="V18" s="93"/>
      <c r="W18" s="6"/>
      <c r="X18" s="3"/>
      <c r="Y18" s="176"/>
      <c r="Z18" s="176"/>
      <c r="AA18" s="3"/>
      <c r="AB18" s="3"/>
    </row>
    <row r="19" ht="18" customHeight="1" spans="1:28">
      <c r="A19" s="61"/>
      <c r="B19" s="6" t="s">
        <v>141</v>
      </c>
      <c r="C19" s="6">
        <f t="array" ref="C19">SUM((LOOKUP(ROW($45:$182),IF($A$45:$A$182&lt;&gt;"",ROW($45:$182)),$A$45:$A$182)=B19)*$C$45:$C$182)</f>
        <v>0</v>
      </c>
      <c r="D19" s="6">
        <f>C19-'2025年18周'!C19</f>
        <v>-5</v>
      </c>
      <c r="E19" s="75">
        <f t="array" ref="E19">SUM((LOOKUP(ROW($45:$182),IF($A$45:$A$182&lt;&gt;"",ROW($45:$182)),$A$45:$A$182)=B19)*$E$45:$E$182)</f>
        <v>0</v>
      </c>
      <c r="F19" s="76">
        <f>(E19-'2025年18周'!E19)/'2025年18周'!E19</f>
        <v>-1</v>
      </c>
      <c r="G19" s="75" t="e">
        <f t="shared" si="5"/>
        <v>#DIV/0!</v>
      </c>
      <c r="H19" s="76" t="e">
        <f>(G19-'2025年18周'!G19)/'2025年18周'!G19</f>
        <v>#DIV/0!</v>
      </c>
      <c r="I19" s="6">
        <f t="array" ref="I19">SUM((LOOKUP(ROW($45:$182),IF($A$45:$A$182&lt;&gt;"",ROW($45:$182)),$A$45:$A$182)=B19)*$I$45:$I$182)</f>
        <v>0</v>
      </c>
      <c r="J19" s="6">
        <f t="array" ref="J19">SUM((LOOKUP(ROW($45:$182),IF($A$45:$A$182&lt;&gt;"",ROW($45:$182)),$A$45:$A$182)=B19)*$J$45:$J$182)</f>
        <v>0</v>
      </c>
      <c r="K19" s="6">
        <f>J19-'2025年18周'!J19</f>
        <v>0</v>
      </c>
      <c r="L19" s="77">
        <f t="array" ref="L19">SUM((LOOKUP(ROW($45:$182),IF($A$45:$A$182&lt;&gt;"",ROW($45:$182)),$A$45:$A$182)=B19)*$L$45:$L$182)</f>
        <v>0</v>
      </c>
      <c r="M19" s="76" t="e">
        <f>(L19-'2025年18周'!L19)/'2025年18周'!L19</f>
        <v>#DIV/0!</v>
      </c>
      <c r="N19" s="75" t="e">
        <f t="shared" si="6"/>
        <v>#DIV/0!</v>
      </c>
      <c r="O19" s="76" t="e">
        <f>(N19-'2025年18周'!N19)/'2025年18周'!N19</f>
        <v>#DIV/0!</v>
      </c>
      <c r="P19" s="78">
        <f t="array" ref="P19">SUM((LOOKUP(ROW($45:$182),IF($A$45:$A$182&lt;&gt;"",ROW($45:$182)),$A$45:$A$182)=B19)*$P$45:$P$182)</f>
        <v>0</v>
      </c>
      <c r="Q19" s="3"/>
      <c r="R19" s="3"/>
      <c r="S19" s="3"/>
      <c r="T19" s="168">
        <f t="shared" si="7"/>
        <v>0</v>
      </c>
      <c r="U19" s="75">
        <f t="shared" si="9"/>
        <v>0</v>
      </c>
      <c r="V19" s="93"/>
      <c r="W19" s="6"/>
      <c r="X19" s="3"/>
      <c r="Y19" s="176"/>
      <c r="Z19" s="176"/>
      <c r="AA19" s="3"/>
      <c r="AB19" s="3"/>
    </row>
    <row r="20" ht="18" customHeight="1" spans="1:28">
      <c r="A20" s="61"/>
      <c r="B20" s="6" t="s">
        <v>143</v>
      </c>
      <c r="C20" s="6">
        <f t="array" ref="C20">SUM((LOOKUP(ROW($45:$182),IF($A$45:$A$182&lt;&gt;"",ROW($45:$182)),$A$45:$A$182)=B20)*$C$45:$C$182)</f>
        <v>497</v>
      </c>
      <c r="D20" s="6">
        <f>C20-'2025年18周'!C20</f>
        <v>-286</v>
      </c>
      <c r="E20" s="75">
        <f t="array" ref="E20">SUM((LOOKUP(ROW($45:$182),IF($A$45:$A$182&lt;&gt;"",ROW($45:$182)),$A$45:$A$182)=B20)*$E$45:$E$182)</f>
        <v>84757.71</v>
      </c>
      <c r="F20" s="76">
        <f>(E20-'2025年18周'!E20)/'2025年18周'!E20</f>
        <v>-0.3618</v>
      </c>
      <c r="G20" s="75">
        <f t="shared" si="5"/>
        <v>170.54</v>
      </c>
      <c r="H20" s="76">
        <f>(G20-'2025年18周'!G20)/'2025年18周'!G20</f>
        <v>0.0054</v>
      </c>
      <c r="I20" s="6">
        <f t="array" ref="I20">SUM((LOOKUP(ROW($45:$182),IF($A$45:$A$182&lt;&gt;"",ROW($45:$182)),$A$45:$A$182)=B20)*$I$45:$I$182)</f>
        <v>28856.0514</v>
      </c>
      <c r="J20" s="6">
        <f t="array" ref="J20">SUM((LOOKUP(ROW($45:$182),IF($A$45:$A$182&lt;&gt;"",ROW($45:$182)),$A$45:$A$182)=B20)*$J$45:$J$182)</f>
        <v>10</v>
      </c>
      <c r="K20" s="6">
        <f>J20-'2025年18周'!J20</f>
        <v>-1</v>
      </c>
      <c r="L20" s="77">
        <f t="array" ref="L20">SUM((LOOKUP(ROW($45:$182),IF($A$45:$A$182&lt;&gt;"",ROW($45:$182)),$A$45:$A$182)=B20)*$L$45:$L$182)</f>
        <v>3100</v>
      </c>
      <c r="M20" s="76">
        <f>(L20-'2025年18周'!L20)/'2025年18周'!L20</f>
        <v>-0.1077</v>
      </c>
      <c r="N20" s="75">
        <f t="shared" si="6"/>
        <v>310</v>
      </c>
      <c r="O20" s="76">
        <f>(N20-'2025年18周'!N20)/'2025年18周'!N20</f>
        <v>-0.0184</v>
      </c>
      <c r="P20" s="78">
        <f t="array" ref="P20">SUM((LOOKUP(ROW($45:$182),IF($A$45:$A$182&lt;&gt;"",ROW($45:$182)),$A$45:$A$182)=B20)*$P$45:$P$182)</f>
        <v>0</v>
      </c>
      <c r="Q20" s="3"/>
      <c r="R20" s="3"/>
      <c r="S20" s="3"/>
      <c r="T20" s="168">
        <f t="shared" si="7"/>
        <v>507</v>
      </c>
      <c r="U20" s="75">
        <f t="shared" si="9"/>
        <v>116713.76</v>
      </c>
      <c r="V20" s="93"/>
      <c r="W20" s="6"/>
      <c r="X20" s="3"/>
      <c r="Y20" s="176"/>
      <c r="Z20" s="176"/>
      <c r="AA20" s="3"/>
      <c r="AB20" s="3"/>
    </row>
    <row r="21" ht="18" customHeight="1" spans="1:28">
      <c r="A21" s="61"/>
      <c r="B21" s="6" t="s">
        <v>151</v>
      </c>
      <c r="C21" s="6">
        <f t="array" ref="C21">SUM((LOOKUP(ROW($45:$182),IF($A$45:$A$182&lt;&gt;"",ROW($45:$182)),$A$45:$A$182)=B21)*$C$45:$C$182)</f>
        <v>94</v>
      </c>
      <c r="D21" s="6">
        <f>C21-'2025年18周'!C21</f>
        <v>-67</v>
      </c>
      <c r="E21" s="75">
        <f t="array" ref="E21">SUM((LOOKUP(ROW($45:$182),IF($A$45:$A$182&lt;&gt;"",ROW($45:$182)),$A$45:$A$182)=B21)*$E$45:$E$182)</f>
        <v>15637.99</v>
      </c>
      <c r="F21" s="76">
        <f>(E21-'2025年18周'!E21)/'2025年18周'!E21</f>
        <v>-0.4488</v>
      </c>
      <c r="G21" s="75">
        <f t="shared" si="5"/>
        <v>166.36</v>
      </c>
      <c r="H21" s="76">
        <f>(G21-'2025年18周'!G21)/'2025年18周'!G21</f>
        <v>-0.056</v>
      </c>
      <c r="I21" s="6">
        <f t="array" ref="I21">SUM((LOOKUP(ROW($45:$182),IF($A$45:$A$182&lt;&gt;"",ROW($45:$182)),$A$45:$A$182)=B21)*$I$45:$I$182)</f>
        <v>0</v>
      </c>
      <c r="J21" s="6">
        <f t="array" ref="J21">SUM((LOOKUP(ROW($45:$182),IF($A$45:$A$182&lt;&gt;"",ROW($45:$182)),$A$45:$A$182)=B21)*$J$45:$J$182)</f>
        <v>0</v>
      </c>
      <c r="K21" s="6">
        <f>J21-'2025年18周'!J21</f>
        <v>0</v>
      </c>
      <c r="L21" s="77">
        <f t="array" ref="L21">SUM((LOOKUP(ROW($45:$182),IF($A$45:$A$182&lt;&gt;"",ROW($45:$182)),$A$45:$A$182)=B21)*$L$45:$L$182)</f>
        <v>0</v>
      </c>
      <c r="M21" s="76" t="e">
        <f>(L21-'2025年18周'!L21)/'2025年18周'!L21</f>
        <v>#DIV/0!</v>
      </c>
      <c r="N21" s="75" t="e">
        <f t="shared" si="6"/>
        <v>#DIV/0!</v>
      </c>
      <c r="O21" s="76" t="e">
        <f>(N21-'2025年18周'!N21)/'2025年18周'!N21</f>
        <v>#DIV/0!</v>
      </c>
      <c r="P21" s="78">
        <f t="array" ref="P21">SUM((LOOKUP(ROW($45:$182),IF($A$45:$A$182&lt;&gt;"",ROW($45:$182)),$A$45:$A$182)=B21)*$P$45:$P$182)</f>
        <v>0</v>
      </c>
      <c r="Q21" s="3"/>
      <c r="R21" s="3"/>
      <c r="S21" s="3"/>
      <c r="T21" s="168">
        <f t="shared" si="7"/>
        <v>94</v>
      </c>
      <c r="U21" s="75">
        <f t="shared" si="9"/>
        <v>15637.99</v>
      </c>
      <c r="V21" s="93"/>
      <c r="W21" s="6"/>
      <c r="X21" s="3"/>
      <c r="Y21" s="176"/>
      <c r="Z21" s="176"/>
      <c r="AA21" s="3"/>
      <c r="AB21" s="3"/>
    </row>
    <row r="22" ht="18" customHeight="1" spans="1:28">
      <c r="A22" s="61"/>
      <c r="B22" s="6" t="s">
        <v>153</v>
      </c>
      <c r="C22" s="6">
        <f t="array" ref="C22">SUM((LOOKUP(ROW($45:$182),IF($A$45:$A$182&lt;&gt;"",ROW($45:$182)),$A$45:$A$182)=B22)*$C$45:$C$182)</f>
        <v>133</v>
      </c>
      <c r="D22" s="6">
        <f>C22-'2025年18周'!C22</f>
        <v>-64</v>
      </c>
      <c r="E22" s="75">
        <f t="array" ref="E22">SUM((LOOKUP(ROW($45:$182),IF($A$45:$A$182&lt;&gt;"",ROW($45:$182)),$A$45:$A$182)=B22)*$E$45:$E$182)</f>
        <v>25832.76</v>
      </c>
      <c r="F22" s="76">
        <f>(E22-'2025年18周'!E22)/'2025年18周'!E22</f>
        <v>-0.381</v>
      </c>
      <c r="G22" s="75">
        <f t="shared" si="5"/>
        <v>194.23</v>
      </c>
      <c r="H22" s="76">
        <f>(G22-'2025年18周'!G22)/'2025年18周'!G22</f>
        <v>-0.0831</v>
      </c>
      <c r="I22" s="6">
        <f t="array" ref="I22">SUM((LOOKUP(ROW($45:$182),IF($A$45:$A$182&lt;&gt;"",ROW($45:$182)),$A$45:$A$182)=B22)*$I$45:$I$182)</f>
        <v>7995.1666</v>
      </c>
      <c r="J22" s="6">
        <f t="array" ref="J22">SUM((LOOKUP(ROW($45:$182),IF($A$45:$A$182&lt;&gt;"",ROW($45:$182)),$A$45:$A$182)=B22)*$J$45:$J$182)</f>
        <v>0</v>
      </c>
      <c r="K22" s="6">
        <f>J22-'2025年18周'!J22</f>
        <v>0</v>
      </c>
      <c r="L22" s="77">
        <f t="array" ref="L22">SUM((LOOKUP(ROW($45:$182),IF($A$45:$A$182&lt;&gt;"",ROW($45:$182)),$A$45:$A$182)=B22)*$L$45:$L$182)</f>
        <v>0</v>
      </c>
      <c r="M22" s="76" t="e">
        <f>(L22-'2025年18周'!L22)/'2025年18周'!L22</f>
        <v>#DIV/0!</v>
      </c>
      <c r="N22" s="75" t="e">
        <f t="shared" si="6"/>
        <v>#DIV/0!</v>
      </c>
      <c r="O22" s="76" t="e">
        <f>(N22-'2025年18周'!N22)/'2025年18周'!N22</f>
        <v>#DIV/0!</v>
      </c>
      <c r="P22" s="78">
        <f t="array" ref="P22">SUM((LOOKUP(ROW($45:$182),IF($A$45:$A$182&lt;&gt;"",ROW($45:$182)),$A$45:$A$182)=B22)*$P$45:$P$182)</f>
        <v>0</v>
      </c>
      <c r="Q22" s="3"/>
      <c r="R22" s="3"/>
      <c r="S22" s="3"/>
      <c r="T22" s="168">
        <f t="shared" si="7"/>
        <v>133</v>
      </c>
      <c r="U22" s="75">
        <f t="shared" si="9"/>
        <v>33827.93</v>
      </c>
      <c r="V22" s="93"/>
      <c r="W22" s="6"/>
      <c r="X22" s="3"/>
      <c r="Y22" s="176"/>
      <c r="Z22" s="176"/>
      <c r="AA22" s="3"/>
      <c r="AB22" s="3"/>
    </row>
    <row r="23" ht="18" customHeight="1" spans="1:28">
      <c r="A23" s="61"/>
      <c r="B23" s="6" t="s">
        <v>85</v>
      </c>
      <c r="C23" s="6">
        <f t="array" ref="C23">SUM((LOOKUP(ROW($45:$182),IF($A$45:$A$182&lt;&gt;"",ROW($45:$182)),$A$45:$A$182)=B23)*$C$45:$C$182)</f>
        <v>329</v>
      </c>
      <c r="D23" s="6">
        <f>C23-'2025年18周'!C23</f>
        <v>-412</v>
      </c>
      <c r="E23" s="75">
        <f t="array" ref="E23">SUM((LOOKUP(ROW($45:$182),IF($A$45:$A$182&lt;&gt;"",ROW($45:$182)),$A$45:$A$182)=B23)*$E$45:$E$182)</f>
        <v>117602.03</v>
      </c>
      <c r="F23" s="76">
        <f>(E23-'2025年18周'!E23)/'2025年18周'!E23</f>
        <v>-0.5767</v>
      </c>
      <c r="G23" s="75">
        <f t="shared" si="5"/>
        <v>357.45</v>
      </c>
      <c r="H23" s="76">
        <f>(G23-'2025年18周'!G23)/'2025年18周'!G23</f>
        <v>-0.0465</v>
      </c>
      <c r="I23" s="6">
        <f t="array" ref="I23">SUM((LOOKUP(ROW($45:$182),IF($A$45:$A$182&lt;&gt;"",ROW($45:$182)),$A$45:$A$182)=B23)*$I$45:$I$182)</f>
        <v>0</v>
      </c>
      <c r="J23" s="6">
        <f t="array" ref="J23">SUM((LOOKUP(ROW($45:$182),IF($A$45:$A$182&lt;&gt;"",ROW($45:$182)),$A$45:$A$182)=B23)*$J$45:$J$182)</f>
        <v>0</v>
      </c>
      <c r="K23" s="6">
        <f>J23-'2025年18周'!J23</f>
        <v>0</v>
      </c>
      <c r="L23" s="77">
        <f t="array" ref="L23">SUM((LOOKUP(ROW($45:$182),IF($A$45:$A$182&lt;&gt;"",ROW($45:$182)),$A$45:$A$182)=B23)*$L$45:$L$182)</f>
        <v>0</v>
      </c>
      <c r="M23" s="76" t="e">
        <f>(L23-'2025年18周'!L23)/'2025年18周'!L23</f>
        <v>#DIV/0!</v>
      </c>
      <c r="N23" s="75" t="e">
        <f t="shared" si="6"/>
        <v>#DIV/0!</v>
      </c>
      <c r="O23" s="76" t="e">
        <f>(N23-'2025年18周'!N23)/'2025年18周'!N23</f>
        <v>#DIV/0!</v>
      </c>
      <c r="P23" s="78">
        <f t="array" ref="P23">SUM((LOOKUP(ROW($45:$182),IF($A$45:$A$182&lt;&gt;"",ROW($45:$182)),$A$45:$A$182)=B23)*$P$45:$P$182)</f>
        <v>0</v>
      </c>
      <c r="Q23" s="3"/>
      <c r="R23" s="3"/>
      <c r="S23" s="3"/>
      <c r="T23" s="168">
        <f t="shared" ref="T23:T34" si="10">C23+J23</f>
        <v>329</v>
      </c>
      <c r="U23" s="75">
        <f t="shared" si="9"/>
        <v>117602.03</v>
      </c>
      <c r="V23" s="93"/>
      <c r="W23" s="6"/>
      <c r="X23" s="3"/>
      <c r="Y23" s="3"/>
      <c r="Z23" s="3"/>
      <c r="AA23" s="3"/>
      <c r="AB23" s="3"/>
    </row>
    <row r="24" ht="18" customHeight="1" spans="1:28">
      <c r="A24" s="61"/>
      <c r="B24" s="6" t="s">
        <v>156</v>
      </c>
      <c r="C24" s="6">
        <f t="array" ref="C24">SUM((LOOKUP(ROW($45:$182),IF($A$45:$A$182&lt;&gt;"",ROW($45:$182)),$A$45:$A$182)=B24)*$C$45:$C$182)</f>
        <v>0</v>
      </c>
      <c r="D24" s="6">
        <f>C24-'2025年18周'!C24</f>
        <v>-5</v>
      </c>
      <c r="E24" s="75">
        <f t="array" ref="E24">SUM((LOOKUP(ROW($45:$182),IF($A$45:$A$182&lt;&gt;"",ROW($45:$182)),$A$45:$A$182)=B24)*$E$45:$E$182)</f>
        <v>0</v>
      </c>
      <c r="F24" s="76">
        <f>(E24-'2025年18周'!E24)/'2025年18周'!E24</f>
        <v>-1</v>
      </c>
      <c r="G24" s="75" t="e">
        <f t="shared" si="5"/>
        <v>#DIV/0!</v>
      </c>
      <c r="H24" s="76" t="e">
        <f>(G24-'2025年18周'!G24)/'2025年18周'!G24</f>
        <v>#DIV/0!</v>
      </c>
      <c r="I24" s="6">
        <f t="array" ref="I24">SUM((LOOKUP(ROW($45:$182),IF($A$45:$A$182&lt;&gt;"",ROW($45:$182)),$A$45:$A$182)=B24)*$I$45:$I$182)</f>
        <v>0</v>
      </c>
      <c r="J24" s="6">
        <f t="array" ref="J24">SUM((LOOKUP(ROW($45:$182),IF($A$45:$A$182&lt;&gt;"",ROW($45:$182)),$A$45:$A$182)=B24)*$J$45:$J$182)</f>
        <v>0</v>
      </c>
      <c r="K24" s="6">
        <f>J24-'2025年18周'!J24</f>
        <v>0</v>
      </c>
      <c r="L24" s="77">
        <f t="array" ref="L24">SUM((LOOKUP(ROW($45:$182),IF($A$45:$A$182&lt;&gt;"",ROW($45:$182)),$A$45:$A$182)=B24)*$L$45:$L$182)</f>
        <v>0</v>
      </c>
      <c r="M24" s="76" t="e">
        <f>(L24-'2025年18周'!L24)/'2025年18周'!L24</f>
        <v>#DIV/0!</v>
      </c>
      <c r="N24" s="75" t="e">
        <f t="shared" si="6"/>
        <v>#DIV/0!</v>
      </c>
      <c r="O24" s="76" t="e">
        <f>(N24-'2025年18周'!N24)/'2025年18周'!N24</f>
        <v>#DIV/0!</v>
      </c>
      <c r="P24" s="78">
        <f t="array" ref="P24">SUM((LOOKUP(ROW($45:$182),IF($A$45:$A$182&lt;&gt;"",ROW($45:$182)),$A$45:$A$182)=B24)*$P$45:$P$182)</f>
        <v>0</v>
      </c>
      <c r="Q24" s="3"/>
      <c r="R24" s="3"/>
      <c r="S24" s="3"/>
      <c r="T24" s="168">
        <f t="shared" si="10"/>
        <v>0</v>
      </c>
      <c r="U24" s="75">
        <f t="shared" si="9"/>
        <v>0</v>
      </c>
      <c r="V24" s="93"/>
      <c r="W24" s="6"/>
      <c r="X24" s="3"/>
      <c r="Y24" s="3"/>
      <c r="Z24" s="3"/>
      <c r="AA24" s="3"/>
      <c r="AB24" s="3"/>
    </row>
    <row r="25" ht="18" customHeight="1" spans="1:28">
      <c r="A25" s="61"/>
      <c r="B25" s="6" t="s">
        <v>158</v>
      </c>
      <c r="C25" s="6">
        <f t="array" ref="C25">SUM((LOOKUP(ROW($45:$182),IF($A$45:$A$182&lt;&gt;"",ROW($45:$182)),$A$45:$A$182)=B25)*$C$45:$C$182)</f>
        <v>69</v>
      </c>
      <c r="D25" s="6">
        <f>C25-'2025年18周'!C25</f>
        <v>-2</v>
      </c>
      <c r="E25" s="75">
        <f t="array" ref="E25">SUM((LOOKUP(ROW($45:$182),IF($A$45:$A$182&lt;&gt;"",ROW($45:$182)),$A$45:$A$182)=B25)*$E$45:$E$182)</f>
        <v>15028.27</v>
      </c>
      <c r="F25" s="76">
        <f>(E25-'2025年18周'!E25)/'2025年18周'!E25</f>
        <v>-0.2189</v>
      </c>
      <c r="G25" s="75">
        <f t="shared" si="5"/>
        <v>217.8</v>
      </c>
      <c r="H25" s="76">
        <f>(G25-'2025年18周'!G25)/'2025年18周'!G25</f>
        <v>-0.1963</v>
      </c>
      <c r="I25" s="6">
        <f t="array" ref="I25">SUM((LOOKUP(ROW($45:$182),IF($A$45:$A$182&lt;&gt;"",ROW($45:$182)),$A$45:$A$182)=B25)*$I$45:$I$182)</f>
        <v>3795.2346</v>
      </c>
      <c r="J25" s="6">
        <f t="array" ref="J25">SUM((LOOKUP(ROW($45:$182),IF($A$45:$A$182&lt;&gt;"",ROW($45:$182)),$A$45:$A$182)=B25)*$J$45:$J$182)</f>
        <v>0</v>
      </c>
      <c r="K25" s="6">
        <f>J25-'2025年18周'!J25</f>
        <v>0</v>
      </c>
      <c r="L25" s="77">
        <f t="array" ref="L25">SUM((LOOKUP(ROW($45:$182),IF($A$45:$A$182&lt;&gt;"",ROW($45:$182)),$A$45:$A$182)=B25)*$L$45:$L$182)</f>
        <v>0</v>
      </c>
      <c r="M25" s="76" t="e">
        <f>(L25-'2025年18周'!L25)/'2025年18周'!L25</f>
        <v>#DIV/0!</v>
      </c>
      <c r="N25" s="75" t="e">
        <f t="shared" si="6"/>
        <v>#DIV/0!</v>
      </c>
      <c r="O25" s="76" t="e">
        <f>(N25-'2025年18周'!N25)/'2025年18周'!N25</f>
        <v>#DIV/0!</v>
      </c>
      <c r="P25" s="78">
        <f t="array" ref="P25">SUM((LOOKUP(ROW($45:$182),IF($A$45:$A$182&lt;&gt;"",ROW($45:$182)),$A$45:$A$182)=B25)*$P$45:$P$182)</f>
        <v>0</v>
      </c>
      <c r="Q25" s="3"/>
      <c r="R25" s="3"/>
      <c r="S25" s="3"/>
      <c r="T25" s="168">
        <f t="shared" si="10"/>
        <v>69</v>
      </c>
      <c r="U25" s="75">
        <f t="shared" si="9"/>
        <v>18823.5</v>
      </c>
      <c r="V25" s="93"/>
      <c r="W25" s="6"/>
      <c r="X25" s="3"/>
      <c r="Y25" s="3"/>
      <c r="Z25" s="3"/>
      <c r="AA25" s="3"/>
      <c r="AB25" s="3"/>
    </row>
    <row r="26" ht="18" customHeight="1" spans="1:28">
      <c r="A26" s="61"/>
      <c r="B26" s="94" t="s">
        <v>161</v>
      </c>
      <c r="C26" s="6">
        <f t="array" ref="C26">SUM((LOOKUP(ROW($45:$182),IF($A$45:$A$182&lt;&gt;"",ROW($45:$182)),$A$45:$A$182)=B26)*$C$45:$C$182)</f>
        <v>76</v>
      </c>
      <c r="D26" s="6">
        <f>C26-'2025年18周'!C26</f>
        <v>-4</v>
      </c>
      <c r="E26" s="75">
        <f t="array" ref="E26">SUM((LOOKUP(ROW($45:$182),IF($A$45:$A$182&lt;&gt;"",ROW($45:$182)),$A$45:$A$182)=B26)*$E$45:$E$182)</f>
        <v>35264.73</v>
      </c>
      <c r="F26" s="76">
        <f>(E26-'2025年18周'!E26)/'2025年18周'!E26</f>
        <v>0.0842</v>
      </c>
      <c r="G26" s="75">
        <f t="shared" si="5"/>
        <v>464.01</v>
      </c>
      <c r="H26" s="76">
        <f>(G26-'2025年18周'!G26)/'2025年18周'!G26</f>
        <v>0.1413</v>
      </c>
      <c r="I26" s="6">
        <f t="array" ref="I26">SUM((LOOKUP(ROW($45:$182),IF($A$45:$A$182&lt;&gt;"",ROW($45:$182)),$A$45:$A$182)=B26)*$I$45:$I$182)</f>
        <v>4180.2584</v>
      </c>
      <c r="J26" s="6">
        <f t="array" ref="J26">SUM((LOOKUP(ROW($45:$182),IF($A$45:$A$182&lt;&gt;"",ROW($45:$182)),$A$45:$A$182)=B26)*$J$45:$J$182)</f>
        <v>0</v>
      </c>
      <c r="K26" s="6">
        <f>J26-'2025年18周'!J26</f>
        <v>0</v>
      </c>
      <c r="L26" s="77">
        <f t="array" ref="L26">SUM((LOOKUP(ROW($45:$182),IF($A$45:$A$182&lt;&gt;"",ROW($45:$182)),$A$45:$A$182)=B26)*$L$45:$L$182)</f>
        <v>0</v>
      </c>
      <c r="M26" s="76" t="e">
        <f>(L26-'2025年18周'!L26)/'2025年18周'!L26</f>
        <v>#DIV/0!</v>
      </c>
      <c r="N26" s="75" t="e">
        <f t="shared" si="6"/>
        <v>#DIV/0!</v>
      </c>
      <c r="O26" s="76" t="e">
        <f>(N26-'2025年18周'!N26)/'2025年18周'!N26</f>
        <v>#DIV/0!</v>
      </c>
      <c r="P26" s="78">
        <f t="array" ref="P26">SUM((LOOKUP(ROW($45:$182),IF($A$45:$A$182&lt;&gt;"",ROW($45:$182)),$A$45:$A$182)=B26)*$P$45:$P$182)</f>
        <v>0</v>
      </c>
      <c r="Q26" s="3"/>
      <c r="R26" s="3"/>
      <c r="S26" s="3"/>
      <c r="T26" s="168">
        <f t="shared" si="10"/>
        <v>76</v>
      </c>
      <c r="U26" s="75">
        <f t="shared" si="9"/>
        <v>39444.99</v>
      </c>
      <c r="V26" s="93"/>
      <c r="W26" s="6"/>
      <c r="X26" s="3"/>
      <c r="Y26" s="3"/>
      <c r="Z26" s="3"/>
      <c r="AA26" s="3"/>
      <c r="AB26" s="3"/>
    </row>
    <row r="27" ht="18" customHeight="1" spans="1:28">
      <c r="A27" s="61"/>
      <c r="B27" s="6" t="s">
        <v>14</v>
      </c>
      <c r="C27" s="6">
        <f t="array" ref="C27">SUM((LOOKUP(ROW($45:$182),IF($A$45:$A$182&lt;&gt;"",ROW($45:$182)),$A$45:$A$182)=B27)*$C$45:$C$182)</f>
        <v>174</v>
      </c>
      <c r="D27" s="6">
        <f>C27-'2025年18周'!C27</f>
        <v>-67</v>
      </c>
      <c r="E27" s="75">
        <f t="array" ref="E27">SUM((LOOKUP(ROW($45:$182),IF($A$45:$A$182&lt;&gt;"",ROW($45:$182)),$A$45:$A$182)=B27)*$E$45:$E$182)</f>
        <v>74503.25</v>
      </c>
      <c r="F27" s="76">
        <f>(E27-'2025年18周'!E27)/'2025年18周'!E27</f>
        <v>-0.2415</v>
      </c>
      <c r="G27" s="75">
        <f t="shared" si="5"/>
        <v>428.18</v>
      </c>
      <c r="H27" s="76">
        <f>(G27-'2025年18周'!G27)/'2025年18周'!G27</f>
        <v>0.0505</v>
      </c>
      <c r="I27" s="6">
        <f t="array" ref="I27">SUM((LOOKUP(ROW($45:$182),IF($A$45:$A$182&lt;&gt;"",ROW($45:$182)),$A$45:$A$182)=B27)*$I$45:$I$182)</f>
        <v>0</v>
      </c>
      <c r="J27" s="6">
        <f t="array" ref="J27">SUM((LOOKUP(ROW($45:$182),IF($A$45:$A$182&lt;&gt;"",ROW($45:$182)),$A$45:$A$182)=B27)*$J$45:$J$182)</f>
        <v>195</v>
      </c>
      <c r="K27" s="6">
        <f>J27-'2025年18周'!J27</f>
        <v>-101</v>
      </c>
      <c r="L27" s="77">
        <f t="array" ref="L27">SUM((LOOKUP(ROW($45:$182),IF($A$45:$A$182&lt;&gt;"",ROW($45:$182)),$A$45:$A$182)=B27)*$L$45:$L$182)</f>
        <v>30034</v>
      </c>
      <c r="M27" s="76">
        <f>(L27-'2025年18周'!L27)/'2025年18周'!L27</f>
        <v>-0.4968</v>
      </c>
      <c r="N27" s="75">
        <f t="shared" si="6"/>
        <v>154.02</v>
      </c>
      <c r="O27" s="76">
        <f>(N27-'2025年18周'!N27)/'2025年18周'!N27</f>
        <v>-0.2362</v>
      </c>
      <c r="P27" s="78">
        <f t="array" ref="P27">SUM((LOOKUP(ROW($45:$182),IF($A$45:$A$182&lt;&gt;"",ROW($45:$182)),$A$45:$A$182)=B27)*$P$45:$P$182)</f>
        <v>0</v>
      </c>
      <c r="Q27" s="3"/>
      <c r="R27" s="3"/>
      <c r="S27" s="3"/>
      <c r="T27" s="168">
        <f t="shared" si="10"/>
        <v>369</v>
      </c>
      <c r="U27" s="75">
        <f t="shared" si="9"/>
        <v>104537.25</v>
      </c>
      <c r="V27" s="93"/>
      <c r="W27" s="6"/>
      <c r="X27" s="3"/>
      <c r="Y27" s="3"/>
      <c r="Z27" s="3"/>
      <c r="AA27" s="3"/>
      <c r="AB27" s="3"/>
    </row>
    <row r="28" ht="18" customHeight="1" spans="1:28">
      <c r="A28" s="61"/>
      <c r="B28" s="6" t="s">
        <v>124</v>
      </c>
      <c r="C28" s="6">
        <f t="array" ref="C28">SUM((LOOKUP(ROW($45:$182),IF($A$45:$A$182&lt;&gt;"",ROW($45:$182)),$A$45:$A$182)=B28)*$C$45:$C$182)</f>
        <v>4</v>
      </c>
      <c r="D28" s="6">
        <f>C28-'2025年18周'!C28</f>
        <v>-12</v>
      </c>
      <c r="E28" s="75">
        <f t="array" ref="E28">SUM((LOOKUP(ROW($45:$182),IF($A$45:$A$182&lt;&gt;"",ROW($45:$182)),$A$45:$A$182)=B28)*$E$45:$E$182)</f>
        <v>1432.05</v>
      </c>
      <c r="F28" s="76">
        <f>(E28-'2025年18周'!E28)/'2025年18周'!E28</f>
        <v>-0.5464</v>
      </c>
      <c r="G28" s="75">
        <f t="shared" si="5"/>
        <v>358.01</v>
      </c>
      <c r="H28" s="76">
        <f>(G28-'2025年18周'!G28)/'2025年18周'!G28</f>
        <v>0.8142</v>
      </c>
      <c r="I28" s="6">
        <f t="array" ref="I28">SUM((LOOKUP(ROW($45:$182),IF($A$45:$A$182&lt;&gt;"",ROW($45:$182)),$A$45:$A$182)=B28)*$I$45:$I$182)</f>
        <v>220.0136</v>
      </c>
      <c r="J28" s="6">
        <f t="array" ref="J28">SUM((LOOKUP(ROW($45:$182),IF($A$45:$A$182&lt;&gt;"",ROW($45:$182)),$A$45:$A$182)=B28)*$J$45:$J$182)</f>
        <v>0</v>
      </c>
      <c r="K28" s="6">
        <f>J28-'2025年18周'!J28</f>
        <v>0</v>
      </c>
      <c r="L28" s="77">
        <f t="array" ref="L28">SUM((LOOKUP(ROW($45:$182),IF($A$45:$A$182&lt;&gt;"",ROW($45:$182)),$A$45:$A$182)=B28)*$L$45:$L$182)</f>
        <v>0</v>
      </c>
      <c r="M28" s="76" t="e">
        <f>(L28-'2025年18周'!L28)/'2025年18周'!L28</f>
        <v>#DIV/0!</v>
      </c>
      <c r="N28" s="75" t="e">
        <f t="shared" si="6"/>
        <v>#DIV/0!</v>
      </c>
      <c r="O28" s="76" t="e">
        <f>(N28-'2025年18周'!N28)/'2025年18周'!N28</f>
        <v>#DIV/0!</v>
      </c>
      <c r="P28" s="78">
        <f t="array" ref="P28">SUM((LOOKUP(ROW($45:$182),IF($A$45:$A$182&lt;&gt;"",ROW($45:$182)),$A$45:$A$182)=B28)*$P$45:$P$182)</f>
        <v>0</v>
      </c>
      <c r="Q28" s="3"/>
      <c r="R28" s="3"/>
      <c r="S28" s="3"/>
      <c r="T28" s="168">
        <f t="shared" si="10"/>
        <v>4</v>
      </c>
      <c r="U28" s="75">
        <f t="shared" si="9"/>
        <v>1652.06</v>
      </c>
      <c r="V28" s="93"/>
      <c r="W28" s="6"/>
      <c r="X28" s="3"/>
      <c r="Y28" s="3"/>
      <c r="Z28" s="3"/>
      <c r="AA28" s="3"/>
      <c r="AB28" s="3"/>
    </row>
    <row r="29" ht="18" customHeight="1" spans="1:28">
      <c r="A29" s="61"/>
      <c r="B29" s="6" t="s">
        <v>165</v>
      </c>
      <c r="C29" s="6">
        <f t="array" ref="C29">SUM((LOOKUP(ROW($45:$182),IF($A$45:$A$182&lt;&gt;"",ROW($45:$182)),$A$45:$A$182)=B29)*$C$45:$C$182)</f>
        <v>39</v>
      </c>
      <c r="D29" s="6">
        <f>C29-'2025年18周'!C29</f>
        <v>-158</v>
      </c>
      <c r="E29" s="75">
        <f t="array" ref="E29">SUM((LOOKUP(ROW($45:$182),IF($A$45:$A$182&lt;&gt;"",ROW($45:$182)),$A$45:$A$182)=B29)*$E$45:$E$182)</f>
        <v>3363.91</v>
      </c>
      <c r="F29" s="76">
        <f>(E29-'2025年18周'!E29)/'2025年18周'!E29</f>
        <v>-0.7802</v>
      </c>
      <c r="G29" s="75">
        <f t="shared" si="5"/>
        <v>86.25</v>
      </c>
      <c r="H29" s="76">
        <f>(G29-'2025年18周'!G29)/'2025年18周'!G29</f>
        <v>0.1102</v>
      </c>
      <c r="I29" s="6">
        <f t="array" ref="I29">SUM((LOOKUP(ROW($45:$182),IF($A$45:$A$182&lt;&gt;"",ROW($45:$182)),$A$45:$A$182)=B29)*$I$45:$I$182)</f>
        <v>2205.1074</v>
      </c>
      <c r="J29" s="6">
        <f t="array" ref="J29">SUM((LOOKUP(ROW($45:$182),IF($A$45:$A$182&lt;&gt;"",ROW($45:$182)),$A$45:$A$182)=B29)*$J$45:$J$182)</f>
        <v>0</v>
      </c>
      <c r="K29" s="6">
        <f>J29-'2025年18周'!J29</f>
        <v>0</v>
      </c>
      <c r="L29" s="77">
        <f t="array" ref="L29">SUM((LOOKUP(ROW($45:$182),IF($A$45:$A$182&lt;&gt;"",ROW($45:$182)),$A$45:$A$182)=B29)*$L$45:$L$182)</f>
        <v>0</v>
      </c>
      <c r="M29" s="76" t="e">
        <f>(L29-'2025年18周'!L29)/'2025年18周'!L29</f>
        <v>#DIV/0!</v>
      </c>
      <c r="N29" s="75" t="e">
        <f t="shared" si="6"/>
        <v>#DIV/0!</v>
      </c>
      <c r="O29" s="76" t="e">
        <f>(N29-'2025年18周'!N29)/'2025年18周'!N29</f>
        <v>#DIV/0!</v>
      </c>
      <c r="P29" s="78">
        <f t="array" ref="P29">SUM((LOOKUP(ROW($45:$182),IF($A$45:$A$182&lt;&gt;"",ROW($45:$182)),$A$45:$A$182)=B29)*$P$45:$P$182)</f>
        <v>0</v>
      </c>
      <c r="Q29" s="3"/>
      <c r="R29" s="3"/>
      <c r="S29" s="3"/>
      <c r="T29" s="168">
        <f t="shared" si="10"/>
        <v>39</v>
      </c>
      <c r="U29" s="75">
        <f t="shared" si="9"/>
        <v>5569.02</v>
      </c>
      <c r="V29" s="93"/>
      <c r="W29" s="6"/>
      <c r="X29" s="3"/>
      <c r="Y29" s="3"/>
      <c r="Z29" s="3"/>
      <c r="AA29" s="3"/>
      <c r="AB29" s="3"/>
    </row>
    <row r="30" ht="18" customHeight="1" spans="1:28">
      <c r="A30" s="61"/>
      <c r="B30" s="6" t="s">
        <v>147</v>
      </c>
      <c r="C30" s="6">
        <f t="array" ref="C30">SUM((LOOKUP(ROW($45:$182),IF($A$45:$A$182&lt;&gt;"",ROW($45:$182)),$A$45:$A$182)=B30)*$C$45:$C$182)</f>
        <v>524</v>
      </c>
      <c r="D30" s="6">
        <f>C30-'2025年18周'!C30</f>
        <v>75</v>
      </c>
      <c r="E30" s="75">
        <f t="array" ref="E30">SUM((LOOKUP(ROW($45:$182),IF($A$45:$A$182&lt;&gt;"",ROW($45:$182)),$A$45:$A$182)=B30)*$E$45:$E$182)</f>
        <v>121343.97</v>
      </c>
      <c r="F30" s="76">
        <f>(E30-'2025年18周'!E30)/'2025年18周'!E30</f>
        <v>0.2319</v>
      </c>
      <c r="G30" s="75">
        <f t="shared" si="5"/>
        <v>231.57</v>
      </c>
      <c r="H30" s="76">
        <f>(G30-'2025年18周'!G30)/'2025年18周'!G30</f>
        <v>0.0556</v>
      </c>
      <c r="I30" s="6">
        <f t="array" ref="I30">SUM((LOOKUP(ROW($45:$182),IF($A$45:$A$182&lt;&gt;"",ROW($45:$182)),$A$45:$A$182)=B30)*$I$45:$I$182)</f>
        <v>11715.7242</v>
      </c>
      <c r="J30" s="6">
        <f t="array" ref="J30">SUM((LOOKUP(ROW($45:$182),IF($A$45:$A$182&lt;&gt;"",ROW($45:$182)),$A$45:$A$182)=B30)*$J$45:$J$182)</f>
        <v>0</v>
      </c>
      <c r="K30" s="6">
        <f>J30-'2025年18周'!J30</f>
        <v>0</v>
      </c>
      <c r="L30" s="77">
        <f t="array" ref="L30">SUM((LOOKUP(ROW($45:$182),IF($A$45:$A$182&lt;&gt;"",ROW($45:$182)),$A$45:$A$182)=B30)*$L$45:$L$182)</f>
        <v>0</v>
      </c>
      <c r="M30" s="76" t="e">
        <f>(L30-'2025年18周'!L30)/'2025年18周'!L30</f>
        <v>#DIV/0!</v>
      </c>
      <c r="N30" s="75" t="e">
        <f t="shared" si="6"/>
        <v>#DIV/0!</v>
      </c>
      <c r="O30" s="76" t="e">
        <f>(N30-'2025年18周'!N30)/'2025年18周'!N30</f>
        <v>#DIV/0!</v>
      </c>
      <c r="P30" s="78">
        <f t="array" ref="P30">SUM((LOOKUP(ROW($45:$182),IF($A$45:$A$182&lt;&gt;"",ROW($45:$182)),$A$45:$A$182)=B30)*$P$45:$P$182)</f>
        <v>0</v>
      </c>
      <c r="Q30" s="3"/>
      <c r="R30" s="3"/>
      <c r="S30" s="3"/>
      <c r="T30" s="168">
        <f t="shared" si="10"/>
        <v>524</v>
      </c>
      <c r="U30" s="75">
        <f t="shared" si="9"/>
        <v>133059.69</v>
      </c>
      <c r="V30" s="93"/>
      <c r="W30" s="6"/>
      <c r="X30" s="3"/>
      <c r="Y30" s="3"/>
      <c r="Z30" s="3"/>
      <c r="AA30" s="3"/>
      <c r="AB30" s="3"/>
    </row>
    <row r="31" s="164" customFormat="1" ht="18" customHeight="1" spans="1:28">
      <c r="A31" s="62"/>
      <c r="B31" s="6" t="s">
        <v>170</v>
      </c>
      <c r="C31" s="6">
        <f t="array" ref="C31">SUM((LOOKUP(ROW($45:$182),IF($A$45:$A$182&lt;&gt;"",ROW($45:$182)),$A$45:$A$182)=B31)*$C$45:$C$182)</f>
        <v>55</v>
      </c>
      <c r="D31" s="6">
        <f>C31-'2025年18周'!C31</f>
        <v>23</v>
      </c>
      <c r="E31" s="75">
        <f t="array" ref="E31">SUM((LOOKUP(ROW($45:$182),IF($A$45:$A$182&lt;&gt;"",ROW($45:$182)),$A$45:$A$182)=B31)*$E$45:$E$182)</f>
        <v>18794.45</v>
      </c>
      <c r="F31" s="76">
        <f>(E31-'2025年18周'!E31)/'2025年18周'!E31</f>
        <v>1.1935</v>
      </c>
      <c r="G31" s="75">
        <f t="shared" si="5"/>
        <v>341.72</v>
      </c>
      <c r="H31" s="76">
        <f>(G31-'2025年18周'!G31)/'2025年18周'!G31</f>
        <v>0.2762</v>
      </c>
      <c r="I31" s="6">
        <f t="array" ref="I31">SUM((LOOKUP(ROW($45:$182),IF($A$45:$A$182&lt;&gt;"",ROW($45:$182)),$A$45:$A$182)=B31)*$I$45:$I$182)</f>
        <v>0</v>
      </c>
      <c r="J31" s="6">
        <f t="array" ref="J31">SUM((LOOKUP(ROW($45:$182),IF($A$45:$A$182&lt;&gt;"",ROW($45:$182)),$A$45:$A$182)=B31)*$J$45:$J$182)</f>
        <v>0</v>
      </c>
      <c r="K31" s="6">
        <f>J31-'2025年18周'!J31</f>
        <v>0</v>
      </c>
      <c r="L31" s="77">
        <f t="array" ref="L31">SUM((LOOKUP(ROW($45:$182),IF($A$45:$A$182&lt;&gt;"",ROW($45:$182)),$A$45:$A$182)=B31)*$L$45:$L$182)</f>
        <v>0</v>
      </c>
      <c r="M31" s="76" t="e">
        <f>(L31-'2025年18周'!L31)/'2025年18周'!L31</f>
        <v>#DIV/0!</v>
      </c>
      <c r="N31" s="75" t="e">
        <f t="shared" si="6"/>
        <v>#DIV/0!</v>
      </c>
      <c r="O31" s="76" t="e">
        <f>(N31-'2025年18周'!N31)/'2025年18周'!N31</f>
        <v>#DIV/0!</v>
      </c>
      <c r="P31" s="78">
        <f t="array" ref="P31">SUM((LOOKUP(ROW($45:$182),IF($A$45:$A$182&lt;&gt;"",ROW($45:$182)),$A$45:$A$182)=B31)*$P$45:$P$182)</f>
        <v>0</v>
      </c>
      <c r="Q31" s="3"/>
      <c r="R31" s="3"/>
      <c r="S31" s="3"/>
      <c r="T31" s="168">
        <f t="shared" si="10"/>
        <v>55</v>
      </c>
      <c r="U31" s="75">
        <f t="shared" si="9"/>
        <v>18794.45</v>
      </c>
      <c r="V31" s="93"/>
      <c r="W31" s="6"/>
      <c r="X31" s="3"/>
      <c r="Y31" s="3"/>
      <c r="Z31" s="3"/>
      <c r="AA31" s="3"/>
      <c r="AB31" s="3"/>
    </row>
    <row r="32" s="164" customFormat="1" ht="18" customHeight="1" spans="1:28">
      <c r="A32" s="62"/>
      <c r="B32" s="6" t="s">
        <v>172</v>
      </c>
      <c r="C32" s="6">
        <f t="array" ref="C32">SUM((LOOKUP(ROW($45:$182),IF($A$45:$A$182&lt;&gt;"",ROW($45:$182)),$A$45:$A$182)=B32)*$C$45:$C$182)</f>
        <v>0</v>
      </c>
      <c r="D32" s="6">
        <f>C32-'2025年18周'!C32</f>
        <v>0</v>
      </c>
      <c r="E32" s="75">
        <f t="array" ref="E32">SUM((LOOKUP(ROW($45:$182),IF($A$45:$A$182&lt;&gt;"",ROW($45:$182)),$A$45:$A$182)=B32)*$E$45:$E$182)</f>
        <v>0</v>
      </c>
      <c r="F32" s="76" t="e">
        <f>(E32-'2025年18周'!E32)/'2025年18周'!E32</f>
        <v>#DIV/0!</v>
      </c>
      <c r="G32" s="75" t="e">
        <f t="shared" si="5"/>
        <v>#DIV/0!</v>
      </c>
      <c r="H32" s="76" t="e">
        <f>(G32-'2025年18周'!G32)/'2025年18周'!G32</f>
        <v>#DIV/0!</v>
      </c>
      <c r="I32" s="6">
        <f t="array" ref="I32">SUM((LOOKUP(ROW($45:$182),IF($A$45:$A$182&lt;&gt;"",ROW($45:$182)),$A$45:$A$182)=B32)*$I$45:$I$182)</f>
        <v>0</v>
      </c>
      <c r="J32" s="6">
        <f t="array" ref="J32">SUM((LOOKUP(ROW($45:$182),IF($A$45:$A$182&lt;&gt;"",ROW($45:$182)),$A$45:$A$182)=B32)*$J$45:$J$182)</f>
        <v>23</v>
      </c>
      <c r="K32" s="6">
        <f>J32-'2025年18周'!J32</f>
        <v>-51</v>
      </c>
      <c r="L32" s="77">
        <f t="array" ref="L32">SUM((LOOKUP(ROW($45:$182),IF($A$45:$A$182&lt;&gt;"",ROW($45:$182)),$A$45:$A$182)=B32)*$L$45:$L$182)</f>
        <v>6096</v>
      </c>
      <c r="M32" s="76">
        <f>(L32-'2025年18周'!L32)/'2025年18周'!L32</f>
        <v>-0.5817</v>
      </c>
      <c r="N32" s="75">
        <f t="shared" si="6"/>
        <v>265.04</v>
      </c>
      <c r="O32" s="76">
        <f>(N32-'2025年18周'!N32)/'2025年18周'!N32</f>
        <v>0.3459</v>
      </c>
      <c r="P32" s="78">
        <f t="array" ref="P32">SUM((LOOKUP(ROW($45:$182),IF($A$45:$A$182&lt;&gt;"",ROW($45:$182)),$A$45:$A$182)=B32)*$P$45:$P$182)</f>
        <v>6993.33</v>
      </c>
      <c r="Q32" s="3"/>
      <c r="R32" s="3"/>
      <c r="S32" s="3"/>
      <c r="T32" s="168">
        <f t="shared" si="10"/>
        <v>23</v>
      </c>
      <c r="U32" s="75">
        <f t="shared" si="9"/>
        <v>13089.33</v>
      </c>
      <c r="V32" s="93"/>
      <c r="W32" s="6"/>
      <c r="X32" s="3"/>
      <c r="Y32" s="3"/>
      <c r="Z32" s="3"/>
      <c r="AA32" s="3"/>
      <c r="AB32" s="3"/>
    </row>
    <row r="33" s="164" customFormat="1" ht="18" customHeight="1" spans="1:30">
      <c r="A33" s="62"/>
      <c r="B33" s="6" t="s">
        <v>174</v>
      </c>
      <c r="C33" s="6">
        <f t="array" ref="C33">SUM((LOOKUP(ROW($45:$182),IF($A$45:$A$182&lt;&gt;"",ROW($45:$182)),$A$45:$A$182)=B33)*$C$45:$C$182)</f>
        <v>0</v>
      </c>
      <c r="D33" s="6">
        <f>C33-'2025年18周'!C33</f>
        <v>0</v>
      </c>
      <c r="E33" s="75">
        <f t="array" ref="E33">SUM((LOOKUP(ROW($45:$182),IF($A$45:$A$182&lt;&gt;"",ROW($45:$182)),$A$45:$A$182)=B33)*$E$45:$E$182)</f>
        <v>0</v>
      </c>
      <c r="F33" s="76" t="e">
        <f>(E33-'2025年18周'!E33)/'2025年18周'!E33</f>
        <v>#DIV/0!</v>
      </c>
      <c r="G33" s="75" t="e">
        <f t="shared" si="5"/>
        <v>#DIV/0!</v>
      </c>
      <c r="H33" s="76" t="e">
        <f>(G33-'2025年18周'!G33)/'2025年18周'!G33</f>
        <v>#DIV/0!</v>
      </c>
      <c r="I33" s="6">
        <f t="array" ref="I33">SUM((LOOKUP(ROW($45:$182),IF($A$45:$A$182&lt;&gt;"",ROW($45:$182)),$A$45:$A$182)=B33)*$I$45:$I$182)</f>
        <v>0</v>
      </c>
      <c r="J33" s="6">
        <f t="array" ref="J33">SUM((LOOKUP(ROW($45:$182),IF($A$45:$A$182&lt;&gt;"",ROW($45:$182)),$A$45:$A$182)=B33)*$J$45:$J$182)</f>
        <v>0</v>
      </c>
      <c r="K33" s="6">
        <f>J33-'2025年18周'!J33</f>
        <v>0</v>
      </c>
      <c r="L33" s="77">
        <f t="array" ref="L33">SUM((LOOKUP(ROW($45:$182),IF($A$45:$A$182&lt;&gt;"",ROW($45:$182)),$A$45:$A$182)=B33)*$L$45:$L$182)</f>
        <v>0</v>
      </c>
      <c r="M33" s="76" t="e">
        <f>(L33-'2025年18周'!L33)/'2025年18周'!L33</f>
        <v>#DIV/0!</v>
      </c>
      <c r="N33" s="75" t="e">
        <f t="shared" si="6"/>
        <v>#DIV/0!</v>
      </c>
      <c r="O33" s="76" t="e">
        <f>(N33-'2025年18周'!N33)/'2025年18周'!N33</f>
        <v>#DIV/0!</v>
      </c>
      <c r="P33" s="78">
        <f t="array" ref="P33">SUM((LOOKUP(ROW($45:$182),IF($A$45:$A$182&lt;&gt;"",ROW($45:$182)),$A$45:$A$182)=B33)*$P$45:$P$182)</f>
        <v>0</v>
      </c>
      <c r="Q33" s="3"/>
      <c r="R33" s="3"/>
      <c r="S33" s="3"/>
      <c r="T33" s="168">
        <f t="shared" si="10"/>
        <v>0</v>
      </c>
      <c r="U33" s="75">
        <f t="shared" si="9"/>
        <v>0</v>
      </c>
      <c r="V33" s="93"/>
      <c r="W33" s="6"/>
      <c r="X33" s="3"/>
      <c r="Y33" s="3"/>
      <c r="Z33" s="3"/>
      <c r="AA33" s="3"/>
      <c r="AB33" s="3"/>
    </row>
    <row r="34" s="164" customFormat="1" ht="18" customHeight="1" spans="1:30">
      <c r="A34" s="62"/>
      <c r="B34" s="6" t="s">
        <v>167</v>
      </c>
      <c r="C34" s="6">
        <f t="array" ref="C34">SUM((LOOKUP(ROW($45:$182),IF($A$45:$A$182&lt;&gt;"",ROW($45:$182)),$A$45:$A$182)=B34)*$C$45:$C$182)</f>
        <v>46</v>
      </c>
      <c r="D34" s="6">
        <f>C34-'2025年18周'!C34</f>
        <v>-20</v>
      </c>
      <c r="E34" s="75">
        <f t="array" ref="E34">SUM((LOOKUP(ROW($45:$182),IF($A$45:$A$182&lt;&gt;"",ROW($45:$182)),$A$45:$A$182)=B34)*$E$45:$E$182)</f>
        <v>7821.98</v>
      </c>
      <c r="F34" s="76">
        <f>(E34-'2025年18周'!E34)/'2025年18周'!E34</f>
        <v>-0.6104</v>
      </c>
      <c r="G34" s="75">
        <f t="shared" si="5"/>
        <v>170.04</v>
      </c>
      <c r="H34" s="76">
        <f>(G34-'2025年18周'!G34)/'2025年18周'!G34</f>
        <v>-0.441</v>
      </c>
      <c r="I34" s="6">
        <f t="array" ref="I34">SUM((LOOKUP(ROW($45:$182),IF($A$45:$A$182&lt;&gt;"",ROW($45:$182)),$A$45:$A$182)=B34)*$I$45:$I$182)</f>
        <v>2790.0472</v>
      </c>
      <c r="J34" s="6">
        <f t="array" ref="J34">SUM((LOOKUP(ROW($45:$182),IF($A$45:$A$182&lt;&gt;"",ROW($45:$182)),$A$45:$A$182)=B34)*$J$45:$J$182)</f>
        <v>0</v>
      </c>
      <c r="K34" s="6">
        <f>J34-'2025年18周'!J34</f>
        <v>0</v>
      </c>
      <c r="L34" s="77">
        <f t="array" ref="L34">SUM((LOOKUP(ROW($45:$182),IF($A$45:$A$182&lt;&gt;"",ROW($45:$182)),$A$45:$A$182)=B34)*$L$45:$L$182)</f>
        <v>0</v>
      </c>
      <c r="M34" s="76" t="e">
        <f>(L34-'2025年18周'!L34)/'2025年18周'!L34</f>
        <v>#DIV/0!</v>
      </c>
      <c r="N34" s="75" t="e">
        <f t="shared" si="6"/>
        <v>#DIV/0!</v>
      </c>
      <c r="O34" s="76" t="e">
        <f>(N34-'2025年18周'!N34)/'2025年18周'!N34</f>
        <v>#DIV/0!</v>
      </c>
      <c r="P34" s="78">
        <f t="array" ref="P34">SUM((LOOKUP(ROW($45:$182),IF($A$45:$A$182&lt;&gt;"",ROW($45:$182)),$A$45:$A$182)=B34)*$P$45:$P$182)</f>
        <v>0</v>
      </c>
      <c r="Q34" s="3"/>
      <c r="R34" s="3"/>
      <c r="S34" s="3"/>
      <c r="T34" s="168">
        <f t="shared" si="10"/>
        <v>46</v>
      </c>
      <c r="U34" s="75">
        <f t="shared" si="9"/>
        <v>10612.03</v>
      </c>
      <c r="V34" s="93"/>
      <c r="W34" s="6"/>
      <c r="X34" s="3"/>
      <c r="Y34" s="3"/>
      <c r="Z34" s="3"/>
      <c r="AA34" s="3"/>
      <c r="AB34" s="3"/>
    </row>
    <row r="35" s="164" customFormat="1" ht="18" customHeight="1" spans="1:30">
      <c r="A35" s="63"/>
      <c r="B35" s="12" t="s">
        <v>207</v>
      </c>
      <c r="C35" s="12">
        <f>SUM(C11:C34)</f>
        <v>6508</v>
      </c>
      <c r="D35" s="12">
        <f>C35-'2025年18周'!C35</f>
        <v>-2410</v>
      </c>
      <c r="E35" s="54">
        <f>SUM(E11:E34)</f>
        <v>1573497.94</v>
      </c>
      <c r="F35" s="86">
        <f>(E35-'2025年18周'!E35)/'2025年18周'!E35</f>
        <v>-0.3121</v>
      </c>
      <c r="G35" s="85">
        <f t="shared" si="5"/>
        <v>241.78</v>
      </c>
      <c r="H35" s="86">
        <f>(G35-'2025年18周'!G35)/'2025年18周'!G35</f>
        <v>-0.0574</v>
      </c>
      <c r="I35" s="12">
        <f>SUM(I11:I34)</f>
        <v>293378.585</v>
      </c>
      <c r="J35" s="12">
        <f>SUM(J11:J34)</f>
        <v>241</v>
      </c>
      <c r="K35" s="12">
        <f>J35-'2025年18周'!J35</f>
        <v>-218</v>
      </c>
      <c r="L35" s="87">
        <f>SUM(L11:L34)</f>
        <v>44003</v>
      </c>
      <c r="M35" s="86">
        <f>(L35-'2025年18周'!L35)/'2025年18周'!L35</f>
        <v>-0.5481</v>
      </c>
      <c r="N35" s="85">
        <f t="shared" si="6"/>
        <v>182.59</v>
      </c>
      <c r="O35" s="86">
        <f>(N35-'2025年18周'!N35)/'2025年18周'!N35</f>
        <v>-0.1393</v>
      </c>
      <c r="P35" s="88">
        <f>SUM(P11:P34)</f>
        <v>15836.79</v>
      </c>
      <c r="Q35" s="59">
        <f>SUM(Q11:Q34)</f>
        <v>0</v>
      </c>
      <c r="R35" s="59">
        <f>SUM(R11:R34)</f>
        <v>0</v>
      </c>
      <c r="S35" s="59">
        <f>SUM(S11:S30)</f>
        <v>0</v>
      </c>
      <c r="T35" s="172">
        <f>SUM(T11:T34)</f>
        <v>6749</v>
      </c>
      <c r="U35" s="88">
        <f>SUM(U11:U34)</f>
        <v>1926716.32</v>
      </c>
      <c r="V35" s="95"/>
      <c r="W35" s="12"/>
      <c r="X35" s="53"/>
      <c r="Y35" s="53"/>
      <c r="Z35" s="53"/>
      <c r="AA35" s="53"/>
      <c r="AB35" s="53"/>
    </row>
    <row r="36" s="163" customFormat="1" ht="18" customHeight="1" spans="1:30">
      <c r="A36" s="52" t="s">
        <v>208</v>
      </c>
      <c r="B36" s="149"/>
      <c r="C36" s="8">
        <f>C10+C35</f>
        <v>13015</v>
      </c>
      <c r="D36" s="8">
        <f>C36-'2025年18周'!C36</f>
        <v>-5066</v>
      </c>
      <c r="E36" s="80">
        <f>E10+E35</f>
        <v>2994113.51</v>
      </c>
      <c r="F36" s="81">
        <f>(E36-'2025年18周'!E36)/'2025年18周'!E36</f>
        <v>-0.3259</v>
      </c>
      <c r="G36" s="80">
        <f t="shared" si="5"/>
        <v>230.05</v>
      </c>
      <c r="H36" s="81">
        <f>(G36-'2025年18周'!G36)/'2025年18周'!G36</f>
        <v>-0.0635</v>
      </c>
      <c r="I36" s="8">
        <f>I10+I35</f>
        <v>558623.7736</v>
      </c>
      <c r="J36" s="8">
        <f>J10+J35</f>
        <v>562</v>
      </c>
      <c r="K36" s="8">
        <f>J36-'2025年18周'!J36</f>
        <v>-904</v>
      </c>
      <c r="L36" s="82">
        <f>L10+L35</f>
        <v>128267</v>
      </c>
      <c r="M36" s="81">
        <f>(L36-'2025年18周'!L36)/'2025年18周'!L36</f>
        <v>-0.6178</v>
      </c>
      <c r="N36" s="80">
        <f t="shared" si="6"/>
        <v>228.23</v>
      </c>
      <c r="O36" s="81">
        <f>(N36-'2025年18周'!N36)/'2025年18周'!N36</f>
        <v>-0.0029</v>
      </c>
      <c r="P36" s="83">
        <f t="shared" ref="P36:U36" si="11">P10+P35</f>
        <v>29370.87</v>
      </c>
      <c r="Q36" s="51">
        <f t="shared" si="11"/>
        <v>233439.06</v>
      </c>
      <c r="R36" s="51">
        <f t="shared" si="11"/>
        <v>154245</v>
      </c>
      <c r="S36" s="51">
        <f t="shared" si="11"/>
        <v>0</v>
      </c>
      <c r="T36" s="172">
        <f t="shared" si="11"/>
        <v>13577</v>
      </c>
      <c r="U36" s="80">
        <f t="shared" si="11"/>
        <v>4098059.23</v>
      </c>
      <c r="V36" s="177"/>
      <c r="W36" s="82"/>
      <c r="X36" s="9"/>
      <c r="Y36" s="9"/>
      <c r="Z36" s="50"/>
      <c r="AA36" s="9"/>
      <c r="AB36" s="9"/>
    </row>
    <row r="37" ht="25.9" customHeight="1" spans="1:30">
      <c r="C37" t="str">
        <f>IF(C36&lt;&gt;SUMIFS(周检修业务统计数据!E:E,周检修业务统计数据!C:C,"干箱",周检修业务统计数据!D:D,"COS"),"箱量有错","")</f>
        <v/>
      </c>
      <c r="E37"/>
      <c r="G37"/>
      <c r="J37" t="str">
        <f>IF(J36&lt;&gt;SUMIFS(周检修业务统计数据!E:E,周检修业务统计数据!C:C,"干箱",周检修业务统计数据!D:D,"&lt;&gt;COS"),"箱量有错","")</f>
        <v/>
      </c>
      <c r="L37"/>
      <c r="M37"/>
      <c r="N37"/>
      <c r="O37" s="1" t="s">
        <v>210</v>
      </c>
      <c r="P37" s="1"/>
      <c r="T37" s="1"/>
      <c r="U37" s="67">
        <f>U36-'2025年18周'!U36</f>
        <v>-2965273.46</v>
      </c>
      <c r="V37" s="166">
        <f>T36-'2025年18周'!T36</f>
        <v>-5970</v>
      </c>
      <c r="W37">
        <f>U36-'2025年18周'!U36</f>
        <v>-2965273.46</v>
      </c>
    </row>
    <row r="38" ht="18" customHeight="1" spans="1:30">
      <c r="A38" s="3"/>
      <c r="B38" s="3"/>
      <c r="C38" s="178" t="s">
        <v>188</v>
      </c>
      <c r="D38" s="22" t="s">
        <v>189</v>
      </c>
      <c r="E38" s="179" t="s">
        <v>190</v>
      </c>
      <c r="F38" s="22" t="s">
        <v>189</v>
      </c>
      <c r="G38"/>
      <c r="I38" s="166"/>
      <c r="J38" s="166"/>
      <c r="K38" s="166"/>
      <c r="L38"/>
      <c r="M38"/>
      <c r="N38"/>
      <c r="Q38" s="1" t="s">
        <v>211</v>
      </c>
      <c r="U38" s="67">
        <f>(E36++L36+P36+S36)/1.13+(I36+Q36+R36)/1.06</f>
        <v>3681903.75</v>
      </c>
      <c r="V38"/>
    </row>
    <row r="39" ht="18" customHeight="1" spans="1:30">
      <c r="A39" s="3" t="s">
        <v>212</v>
      </c>
      <c r="B39" s="3"/>
      <c r="C39" s="6">
        <f>T36</f>
        <v>13577</v>
      </c>
      <c r="D39" s="180">
        <f>(T36-'2025年18周'!T36)/'2025年18周'!T36</f>
        <v>-0.31</v>
      </c>
      <c r="E39" s="77">
        <f>U36</f>
        <v>4098059</v>
      </c>
      <c r="F39" s="76">
        <f>(U36-'2025年18周'!U36)/'2025年18周'!U36</f>
        <v>-0.4198</v>
      </c>
      <c r="G39"/>
      <c r="I39" s="166"/>
      <c r="J39" s="166"/>
      <c r="K39" s="166"/>
      <c r="L39"/>
      <c r="M39">
        <f>E36/(1.13*7*10000)</f>
        <v>37.8522567635904</v>
      </c>
      <c r="N39"/>
      <c r="U39"/>
      <c r="V39"/>
    </row>
    <row r="40" ht="18" customHeight="1" spans="1:30">
      <c r="A40" s="3" t="s">
        <v>213</v>
      </c>
      <c r="B40" s="3"/>
      <c r="C40" s="76">
        <f>C36/C39</f>
        <v>0.9586</v>
      </c>
      <c r="D40" s="6"/>
      <c r="E40" s="76">
        <f>E36/E39</f>
        <v>0.7306</v>
      </c>
      <c r="F40" s="6"/>
      <c r="T40" s="181"/>
      <c r="U40" s="181"/>
      <c r="V40" s="181"/>
      <c r="W40" s="181"/>
    </row>
    <row r="41" ht="18" customHeight="1" spans="1:30">
      <c r="A41" s="3" t="s">
        <v>214</v>
      </c>
      <c r="B41" s="3"/>
      <c r="C41" s="76">
        <f>J36/C39</f>
        <v>0.0414</v>
      </c>
      <c r="D41" s="6"/>
      <c r="E41" s="76">
        <f>L36/E39</f>
        <v>0.0313</v>
      </c>
      <c r="F41" s="6"/>
    </row>
    <row r="42" ht="27" customHeight="1" spans="1:30">
      <c r="A42" s="182" t="s">
        <v>215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</row>
    <row r="43" ht="18" customHeight="1" spans="1:30">
      <c r="A43" s="32" t="s">
        <v>180</v>
      </c>
      <c r="B43" s="33"/>
      <c r="C43" s="22" t="s">
        <v>181</v>
      </c>
      <c r="D43" s="22"/>
      <c r="E43" s="22"/>
      <c r="F43" s="22"/>
      <c r="G43" s="22"/>
      <c r="H43" s="22"/>
      <c r="I43" s="22"/>
      <c r="J43" s="22" t="s">
        <v>182</v>
      </c>
      <c r="K43" s="22"/>
      <c r="L43" s="22"/>
      <c r="M43" s="22"/>
      <c r="N43" s="22"/>
      <c r="O43" s="22"/>
      <c r="P43" s="32" t="s">
        <v>183</v>
      </c>
      <c r="Q43" s="73"/>
      <c r="R43" s="73"/>
      <c r="S43" s="33"/>
      <c r="T43" s="22" t="s">
        <v>184</v>
      </c>
      <c r="U43" s="22"/>
      <c r="V43" s="22"/>
      <c r="W43" s="22"/>
      <c r="X43" s="73" t="s">
        <v>216</v>
      </c>
      <c r="Y43" s="183"/>
      <c r="Z43" s="183"/>
      <c r="AA43" s="183"/>
      <c r="AB43" s="146"/>
      <c r="AC43" s="184" t="s">
        <v>217</v>
      </c>
    </row>
    <row r="44" s="165" customFormat="1" ht="36" customHeight="1" spans="1:30">
      <c r="A44" s="74" t="s">
        <v>187</v>
      </c>
      <c r="B44" s="185"/>
      <c r="C44" s="167" t="s">
        <v>188</v>
      </c>
      <c r="D44" s="167" t="s">
        <v>189</v>
      </c>
      <c r="E44" s="186" t="s">
        <v>190</v>
      </c>
      <c r="F44" s="167" t="s">
        <v>189</v>
      </c>
      <c r="G44" s="186" t="s">
        <v>191</v>
      </c>
      <c r="H44" s="167" t="s">
        <v>189</v>
      </c>
      <c r="I44" s="167" t="s">
        <v>192</v>
      </c>
      <c r="J44" s="167" t="s">
        <v>188</v>
      </c>
      <c r="K44" s="167" t="s">
        <v>189</v>
      </c>
      <c r="L44" s="186" t="s">
        <v>190</v>
      </c>
      <c r="M44" s="186" t="s">
        <v>189</v>
      </c>
      <c r="N44" s="186" t="s">
        <v>191</v>
      </c>
      <c r="O44" s="167" t="s">
        <v>189</v>
      </c>
      <c r="P44" s="167" t="s">
        <v>193</v>
      </c>
      <c r="Q44" s="167" t="s">
        <v>194</v>
      </c>
      <c r="R44" s="167" t="s">
        <v>195</v>
      </c>
      <c r="S44" s="167" t="s">
        <v>196</v>
      </c>
      <c r="T44" s="187" t="s">
        <v>188</v>
      </c>
      <c r="U44" s="188" t="s">
        <v>190</v>
      </c>
      <c r="V44" s="188" t="s">
        <v>197</v>
      </c>
      <c r="W44" s="189" t="s">
        <v>218</v>
      </c>
      <c r="X44" s="167" t="s">
        <v>199</v>
      </c>
      <c r="Y44" s="190" t="s">
        <v>200</v>
      </c>
      <c r="Z44" s="167" t="s">
        <v>201</v>
      </c>
      <c r="AA44" s="167" t="s">
        <v>202</v>
      </c>
      <c r="AB44" s="167" t="s">
        <v>203</v>
      </c>
      <c r="AC44" s="191"/>
    </row>
    <row r="45" s="163" customFormat="1" ht="18" customHeight="1" spans="1:30">
      <c r="A45" s="7" t="s">
        <v>9</v>
      </c>
      <c r="B45" s="8" t="s">
        <v>10</v>
      </c>
      <c r="C45" s="8">
        <f>SUMIFS(周检修业务统计数据!E:E,周检修业务统计数据!B:B,B45,周检修业务统计数据!C:C,"干箱",周检修业务统计数据!D:D,"COS")</f>
        <v>60</v>
      </c>
      <c r="D45" s="8">
        <f>C45-'2025年18周'!C45</f>
        <v>-11</v>
      </c>
      <c r="E45" s="80">
        <f>(SUMIFS(周检修业务统计数据!I:I,周检修业务统计数据!B:B,B45,周检修业务统计数据!C:C,"干箱",周检修业务统计数据!D:D,"COS")+SUMIFS(周检修业务统计数据!J:J,周检修业务统计数据!B:B,B45,周检修业务统计数据!C:C,"干箱",周检修业务统计数据!D:D,"COS"))*1.13</f>
        <v>21637</v>
      </c>
      <c r="F45" s="81">
        <f>(E45-'2025年18周'!E45)/'2025年18周'!E45</f>
        <v>0.0249</v>
      </c>
      <c r="G45" s="82">
        <f>E45/C45</f>
        <v>361</v>
      </c>
      <c r="H45" s="81">
        <f>(G45-'2025年18周'!G45)/'2025年18周'!G45</f>
        <v>0.2155</v>
      </c>
      <c r="I45" s="8">
        <f>SUMIFS(周检修业务统计数据!L:L,周检修业务统计数据!B:B,B45,周检修业务统计数据!C:C,"干箱",周检修业务统计数据!D:D,"COS")*1.06</f>
        <v>0</v>
      </c>
      <c r="J45" s="8">
        <f>SUMIFS(周检修业务统计数据!E:E,周检修业务统计数据!B:B,B45,周检修业务统计数据!C:C,"干箱",周检修业务统计数据!D:D,"&lt;&gt;COS")</f>
        <v>40</v>
      </c>
      <c r="K45" s="8">
        <f>J45-'2025年18周'!J45</f>
        <v>-355</v>
      </c>
      <c r="L45" s="80">
        <f>(SUMIFS(周检修业务统计数据!I:I,周检修业务统计数据!B:B,B45,周检修业务统计数据!C:C,"干箱",周检修业务统计数据!D:D,"&lt;&gt;COS")+SUMIFS(周检修业务统计数据!J:J,周检修业务统计数据!B:B,B45,周检修业务统计数据!C:C,"干箱",周检修业务统计数据!D:D,"&lt;&gt;COS"))*1.13++SUMIFS(周检修业务统计数据!L:L,周检修业务统计数据!B:B,B45,周检修业务统计数据!C:C,"干箱",周检修业务统计数据!D:D,"&lt;&gt;COS")*1.06</f>
        <v>12624.93</v>
      </c>
      <c r="M45" s="81">
        <f>(L45-'2025年18周'!L45)/'2025年18周'!L45</f>
        <v>-0.7379</v>
      </c>
      <c r="N45" s="82">
        <f>L45/J45</f>
        <v>316</v>
      </c>
      <c r="O45" s="81">
        <f>(N45-'2025年18周'!N45)/'2025年18周'!N45</f>
        <v>1.5902</v>
      </c>
      <c r="P45" s="83">
        <f>(SUMIFS(周检修业务统计数据!I:I,周检修业务统计数据!B:B,B45,周检修业务统计数据!C:C,"&lt;&gt;干箱")+SUMIFS(周检修业务统计数据!J:J,周检修业务统计数据!B:B,B45,周检修业务统计数据!C:C,"&lt;&gt;干箱"))*1.13++SUMIFS(周检修业务统计数据!L:L,周检修业务统计数据!B:B,B45,周检修业务统计数据!C:C,"&lt;&gt;干箱")*1.06</f>
        <v>728.33</v>
      </c>
      <c r="Q45" s="3">
        <v>48988</v>
      </c>
      <c r="R45" s="53"/>
      <c r="S45" s="9">
        <f>S188</f>
        <v>0</v>
      </c>
      <c r="T45" s="168">
        <f>C45+J45</f>
        <v>100</v>
      </c>
      <c r="U45" s="82">
        <f>E45+L45+I45+P45+Q45+R45+S45</f>
        <v>83978</v>
      </c>
      <c r="V45" s="192">
        <f>(E45+L45+E46+L46)/W45</f>
        <v>6447</v>
      </c>
      <c r="W45" s="193">
        <v>7</v>
      </c>
      <c r="X45" s="194">
        <v>600</v>
      </c>
      <c r="Y45" s="195">
        <f>SUM(T45:T46)-X45</f>
        <v>-410</v>
      </c>
      <c r="Z45" s="148">
        <f ca="1">X45*$Z$2</f>
        <v>11400</v>
      </c>
      <c r="AA45" s="148">
        <f>自营2026周完成情况!BB55</f>
        <v>7898</v>
      </c>
      <c r="AB45" s="148">
        <f ca="1">AA45-Z45</f>
        <v>-3502</v>
      </c>
      <c r="AC45" s="196"/>
      <c r="AD45" s="171"/>
    </row>
    <row r="46" s="163" customFormat="1" ht="18" customHeight="1" spans="1:30">
      <c r="A46" s="7" t="s">
        <v>9</v>
      </c>
      <c r="B46" s="8" t="s">
        <v>11</v>
      </c>
      <c r="C46" s="8">
        <f>SUMIFS(周检修业务统计数据!E:E,周检修业务统计数据!B:B,B46,周检修业务统计数据!C:C,"干箱",周检修业务统计数据!D:D,"COS")</f>
        <v>90</v>
      </c>
      <c r="D46" s="8">
        <f>C46-'2025年18周'!C46</f>
        <v>-85</v>
      </c>
      <c r="E46" s="80">
        <f>(SUMIFS(周检修业务统计数据!I:I,周检修业务统计数据!B:B,B46,周检修业务统计数据!C:C,"干箱",周检修业务统计数据!D:D,"COS")+SUMIFS(周检修业务统计数据!J:J,周检修业务统计数据!B:B,B46,周检修业务统计数据!C:C,"干箱",周检修业务统计数据!D:D,"COS"))*1.13</f>
        <v>10866.36</v>
      </c>
      <c r="F46" s="81">
        <f>(E46-'2025年18周'!E46)/'2025年18周'!E46</f>
        <v>-0.478</v>
      </c>
      <c r="G46" s="82">
        <f t="shared" ref="G46:G83" si="12">E46/C46</f>
        <v>121</v>
      </c>
      <c r="H46" s="81">
        <f>(G46-'2025年18周'!G46)/'2025年18周'!G46</f>
        <v>0.0168</v>
      </c>
      <c r="I46" s="8">
        <f>SUMIFS(周检修业务统计数据!L:L,周检修业务统计数据!B:B,B46,周检修业务统计数据!C:C,"干箱",周检修业务统计数据!D:D,"COS")*1.06</f>
        <v>5689.9952</v>
      </c>
      <c r="J46" s="8">
        <f>SUMIFS(周检修业务统计数据!E:E,周检修业务统计数据!B:B,B46,周检修业务统计数据!C:C,"干箱",周检修业务统计数据!D:D,"&lt;&gt;COS")</f>
        <v>0</v>
      </c>
      <c r="K46" s="8">
        <f>J46-'2025年18周'!J46</f>
        <v>-27</v>
      </c>
      <c r="L46" s="80">
        <f>(SUMIFS(周检修业务统计数据!I:I,周检修业务统计数据!B:B,B46,周检修业务统计数据!C:C,"干箱",周检修业务统计数据!D:D,"&lt;&gt;COS")+SUMIFS(周检修业务统计数据!J:J,周检修业务统计数据!B:B,B46,周检修业务统计数据!C:C,"干箱",周检修业务统计数据!D:D,"&lt;&gt;COS"))*1.13++SUMIFS(周检修业务统计数据!L:L,周检修业务统计数据!B:B,B46,周检修业务统计数据!C:C,"干箱",周检修业务统计数据!D:D,"&lt;&gt;COS")*1.06</f>
        <v>0</v>
      </c>
      <c r="M46" s="81">
        <f>(L46-'2025年18周'!L46)/'2025年18周'!L46</f>
        <v>-1</v>
      </c>
      <c r="N46" s="82" t="e">
        <f t="shared" ref="N46:N83" si="13">L46/J46</f>
        <v>#DIV/0!</v>
      </c>
      <c r="O46" s="81" t="e">
        <f>(N46-'2025年18周'!N46)/'2025年18周'!N46</f>
        <v>#DIV/0!</v>
      </c>
      <c r="P46" s="83">
        <f>(SUMIFS(周检修业务统计数据!I:I,周检修业务统计数据!B:B,B46,周检修业务统计数据!C:C,"&lt;&gt;干箱")+SUMIFS(周检修业务统计数据!J:J,周检修业务统计数据!B:B,B46,周检修业务统计数据!C:C,"&lt;&gt;干箱"))*1.13++SUMIFS(周检修业务统计数据!L:L,周检修业务统计数据!B:B,B46,周检修业务统计数据!C:C,"&lt;&gt;干箱")*1.06</f>
        <v>0</v>
      </c>
      <c r="Q46" s="9"/>
      <c r="R46" s="9"/>
      <c r="S46" s="9">
        <f t="shared" ref="S46:S83" si="14">S189</f>
        <v>0</v>
      </c>
      <c r="T46" s="168">
        <f t="shared" ref="T46:T83" si="15">C46+J46</f>
        <v>90</v>
      </c>
      <c r="U46" s="82">
        <f t="shared" ref="U46:U83" si="16">E46+L46+I46+P46+Q46+R46+S46</f>
        <v>16556</v>
      </c>
      <c r="V46" s="197"/>
      <c r="W46" s="198"/>
      <c r="X46" s="64"/>
      <c r="Y46" s="199"/>
      <c r="Z46" s="148">
        <f ca="1">X46*$Z$2</f>
        <v>0</v>
      </c>
      <c r="AA46" s="148">
        <f>自营2026周完成情况!BB56</f>
        <v>3469</v>
      </c>
      <c r="AB46" s="148">
        <f ca="1">AA46-Z46</f>
        <v>3469</v>
      </c>
      <c r="AC46" s="196"/>
      <c r="AD46" s="171"/>
    </row>
    <row r="47" ht="18" customHeight="1" spans="1:30">
      <c r="A47" s="3" t="s">
        <v>12</v>
      </c>
      <c r="B47" s="6" t="s">
        <v>13</v>
      </c>
      <c r="C47" s="6">
        <f>SUMIFS(周检修业务统计数据!E:E,周检修业务统计数据!B:B,B47,周检修业务统计数据!C:C,"干箱",周检修业务统计数据!D:D,"COS")</f>
        <v>102</v>
      </c>
      <c r="D47" s="6">
        <f>C47-'2025年18周'!C47</f>
        <v>-72</v>
      </c>
      <c r="E47" s="75">
        <f>(SUMIFS(周检修业务统计数据!I:I,周检修业务统计数据!B:B,B47,周检修业务统计数据!C:C,"干箱",周检修业务统计数据!D:D,"COS")+SUMIFS(周检修业务统计数据!J:J,周检修业务统计数据!B:B,B47,周检修业务统计数据!C:C,"干箱",周检修业务统计数据!D:D,"COS"))*1.13</f>
        <v>42053.97</v>
      </c>
      <c r="F47" s="76">
        <f>(E47-'2025年18周'!E47)/'2025年18周'!E47</f>
        <v>-0.3931</v>
      </c>
      <c r="G47" s="77">
        <f t="shared" si="12"/>
        <v>412</v>
      </c>
      <c r="H47" s="76">
        <f>(G47-'2025年18周'!G47)/'2025年18周'!G47</f>
        <v>0.0352</v>
      </c>
      <c r="I47" s="6">
        <f>SUMIFS(周检修业务统计数据!L:L,周检修业务统计数据!B:B,B47,周检修业务统计数据!C:C,"干箱",周检修业务统计数据!D:D,"COS")*1.06</f>
        <v>0</v>
      </c>
      <c r="J47" s="6">
        <f>SUMIFS(周检修业务统计数据!E:E,周检修业务统计数据!B:B,B47,周检修业务统计数据!C:C,"干箱",周检修业务统计数据!D:D,"&lt;&gt;COS")</f>
        <v>0</v>
      </c>
      <c r="K47" s="6">
        <f>J47-'2025年18周'!J47</f>
        <v>-1</v>
      </c>
      <c r="L47" s="75">
        <f>(SUMIFS(周检修业务统计数据!I:I,周检修业务统计数据!B:B,B47,周检修业务统计数据!C:C,"干箱",周检修业务统计数据!D:D,"&lt;&gt;COS")+SUMIFS(周检修业务统计数据!J:J,周检修业务统计数据!B:B,B47,周检修业务统计数据!C:C,"干箱",周检修业务统计数据!D:D,"&lt;&gt;COS"))*1.13++SUMIFS(周检修业务统计数据!L:L,周检修业务统计数据!B:B,B47,周检修业务统计数据!C:C,"干箱",周检修业务统计数据!D:D,"&lt;&gt;COS")*1.06</f>
        <v>0</v>
      </c>
      <c r="M47" s="76">
        <f>(L47-'2025年18周'!L47)/'2025年18周'!L47</f>
        <v>-1</v>
      </c>
      <c r="N47" s="77" t="e">
        <f t="shared" si="13"/>
        <v>#DIV/0!</v>
      </c>
      <c r="O47" s="76" t="e">
        <f>(N47-'2025年18周'!N47)/'2025年18周'!N47</f>
        <v>#DIV/0!</v>
      </c>
      <c r="P47" s="78">
        <f>(SUMIFS(周检修业务统计数据!I:I,周检修业务统计数据!B:B,B47,周检修业务统计数据!C:C,"&lt;&gt;干箱")+SUMIFS(周检修业务统计数据!J:J,周检修业务统计数据!B:B,B47,周检修业务统计数据!C:C,"&lt;&gt;干箱"))*1.13++SUMIFS(周检修业务统计数据!L:L,周检修业务统计数据!B:B,B47,周检修业务统计数据!C:C,"&lt;&gt;干箱")*1.06</f>
        <v>0</v>
      </c>
      <c r="Q47" s="3"/>
      <c r="R47" s="3"/>
      <c r="S47" s="3">
        <f t="shared" si="14"/>
        <v>0</v>
      </c>
      <c r="T47" s="168">
        <f t="shared" si="15"/>
        <v>102</v>
      </c>
      <c r="U47" s="77">
        <f t="shared" si="16"/>
        <v>42054</v>
      </c>
      <c r="V47" s="43">
        <f>(E47+L47)/W47</f>
        <v>10513</v>
      </c>
      <c r="W47" s="3">
        <v>4</v>
      </c>
      <c r="X47" s="146">
        <v>400</v>
      </c>
      <c r="Y47" s="200">
        <f>T47-X47</f>
        <v>-298</v>
      </c>
      <c r="Z47" s="145">
        <f ca="1">X47*$Z$2</f>
        <v>7600</v>
      </c>
      <c r="AA47" s="148">
        <f>自营2026周完成情况!BB57</f>
        <v>2578</v>
      </c>
      <c r="AB47" s="145">
        <f ca="1">AA47-Z47</f>
        <v>-5022</v>
      </c>
      <c r="AC47" s="201"/>
      <c r="AD47" s="104"/>
    </row>
    <row r="48" ht="18" customHeight="1" spans="1:30">
      <c r="A48" s="202" t="s">
        <v>14</v>
      </c>
      <c r="B48" s="168" t="s">
        <v>15</v>
      </c>
      <c r="C48" s="168">
        <f>SUMIFS(周检修业务统计数据!E:E,周检修业务统计数据!B:B,B48,周检修业务统计数据!C:C,"干箱",周检修业务统计数据!D:D,"COS")</f>
        <v>174</v>
      </c>
      <c r="D48" s="168">
        <f>C48-'2025年18周'!C48</f>
        <v>-67</v>
      </c>
      <c r="E48" s="203">
        <f>(SUMIFS(周检修业务统计数据!I:I,周检修业务统计数据!B:B,B48,周检修业务统计数据!C:C,"干箱",周检修业务统计数据!D:D,"COS")+SUMIFS(周检修业务统计数据!J:J,周检修业务统计数据!B:B,B48,周检修业务统计数据!C:C,"干箱",周检修业务统计数据!D:D,"COS"))*1.13</f>
        <v>74503.25</v>
      </c>
      <c r="F48" s="204">
        <f>(E48-'2025年18周'!E48)/'2025年18周'!E48</f>
        <v>-0.2415</v>
      </c>
      <c r="G48" s="205">
        <f t="shared" si="12"/>
        <v>428</v>
      </c>
      <c r="H48" s="204">
        <f>(G48-'2025年18周'!G48)/'2025年18周'!G48</f>
        <v>0.049</v>
      </c>
      <c r="I48" s="168">
        <f>SUMIFS(周检修业务统计数据!L:L,周检修业务统计数据!B:B,B48,周检修业务统计数据!C:C,"干箱",周检修业务统计数据!D:D,"COS")*1.06</f>
        <v>0</v>
      </c>
      <c r="J48" s="168">
        <f>SUMIFS(周检修业务统计数据!E:E,周检修业务统计数据!B:B,B48,周检修业务统计数据!C:C,"干箱",周检修业务统计数据!D:D,"&lt;&gt;COS")</f>
        <v>147</v>
      </c>
      <c r="K48" s="168">
        <f>J48-'2025年18周'!J48</f>
        <v>-108</v>
      </c>
      <c r="L48" s="203">
        <f>(SUMIFS(周检修业务统计数据!I:I,周检修业务统计数据!B:B,B48,周检修业务统计数据!C:C,"干箱",周检修业务统计数据!D:D,"&lt;&gt;COS")+SUMIFS(周检修业务统计数据!J:J,周检修业务统计数据!B:B,B48,周检修业务统计数据!C:C,"干箱",周检修业务统计数据!D:D,"&lt;&gt;COS"))*1.13++SUMIFS(周检修业务统计数据!L:L,周检修业务统计数据!B:B,B48,周检修业务统计数据!C:C,"干箱",周检修业务统计数据!D:D,"&lt;&gt;COS")*1.06</f>
        <v>23804.4</v>
      </c>
      <c r="M48" s="204">
        <f>(L48-'2025年18周'!L48)/'2025年18周'!L48</f>
        <v>-0.5441</v>
      </c>
      <c r="N48" s="205">
        <f t="shared" si="13"/>
        <v>162</v>
      </c>
      <c r="O48" s="204">
        <f>(N48-'2025年18周'!N48)/'2025年18周'!N48</f>
        <v>-0.2098</v>
      </c>
      <c r="P48" s="206">
        <f>(SUMIFS(周检修业务统计数据!I:I,周检修业务统计数据!B:B,B48,周检修业务统计数据!C:C,"&lt;&gt;干箱")+SUMIFS(周检修业务统计数据!J:J,周检修业务统计数据!B:B,B48,周检修业务统计数据!C:C,"&lt;&gt;干箱"))*1.13++SUMIFS(周检修业务统计数据!L:L,周检修业务统计数据!B:B,B48,周检修业务统计数据!C:C,"&lt;&gt;干箱")*1.06</f>
        <v>0</v>
      </c>
      <c r="Q48" s="202">
        <v>78519.5</v>
      </c>
      <c r="R48" s="202"/>
      <c r="S48" s="202">
        <f t="shared" si="14"/>
        <v>0</v>
      </c>
      <c r="T48" s="168">
        <f t="shared" si="15"/>
        <v>321</v>
      </c>
      <c r="U48" s="205">
        <f t="shared" si="16"/>
        <v>176827</v>
      </c>
      <c r="V48" s="207">
        <f t="shared" ref="V48:V77" si="17">(E48+L48)/W48</f>
        <v>14044</v>
      </c>
      <c r="W48" s="202">
        <v>7</v>
      </c>
      <c r="X48" s="208">
        <v>400</v>
      </c>
      <c r="Y48" s="209">
        <f>T48-X48</f>
        <v>-79</v>
      </c>
      <c r="Z48" s="209">
        <f ca="1">X48*$Z$2</f>
        <v>7600</v>
      </c>
      <c r="AA48" s="209">
        <f>自营2026周完成情况!BB58</f>
        <v>7033</v>
      </c>
      <c r="AB48" s="209">
        <f ca="1">AA48-Z48</f>
        <v>-567</v>
      </c>
      <c r="AC48" s="201"/>
      <c r="AD48" s="104"/>
    </row>
    <row r="49" ht="18" customHeight="1" spans="1:30">
      <c r="A49" s="3" t="s">
        <v>12</v>
      </c>
      <c r="B49" s="6" t="s">
        <v>16</v>
      </c>
      <c r="C49" s="6">
        <f>SUMIFS(周检修业务统计数据!E:E,周检修业务统计数据!B:B,B49,周检修业务统计数据!C:C,"干箱",周检修业务统计数据!D:D,"COS")</f>
        <v>0</v>
      </c>
      <c r="D49" s="6">
        <f>C49-'2025年18周'!C49</f>
        <v>0</v>
      </c>
      <c r="E49" s="75">
        <f>(SUMIFS(周检修业务统计数据!I:I,周检修业务统计数据!B:B,B49,周检修业务统计数据!C:C,"干箱",周检修业务统计数据!D:D,"COS")+SUMIFS(周检修业务统计数据!J:J,周检修业务统计数据!B:B,B49,周检修业务统计数据!C:C,"干箱",周检修业务统计数据!D:D,"COS"))*1.13</f>
        <v>0</v>
      </c>
      <c r="F49" s="76" t="e">
        <f>(E49-'2025年18周'!E49)/'2025年18周'!E49</f>
        <v>#DIV/0!</v>
      </c>
      <c r="G49" s="77" t="e">
        <f t="shared" si="12"/>
        <v>#DIV/0!</v>
      </c>
      <c r="H49" s="76" t="e">
        <f>(G49-'2025年18周'!G49)/'2025年18周'!G49</f>
        <v>#DIV/0!</v>
      </c>
      <c r="I49" s="6">
        <f>SUMIFS(周检修业务统计数据!L:L,周检修业务统计数据!B:B,B49,周检修业务统计数据!C:C,"干箱",周检修业务统计数据!D:D,"COS")*1.06</f>
        <v>0</v>
      </c>
      <c r="J49" s="6">
        <f>SUMIFS(周检修业务统计数据!E:E,周检修业务统计数据!B:B,B49,周检修业务统计数据!C:C,"干箱",周检修业务统计数据!D:D,"&lt;&gt;COS")</f>
        <v>0</v>
      </c>
      <c r="K49" s="6">
        <f>J49-'2025年18周'!J49</f>
        <v>0</v>
      </c>
      <c r="L49" s="75">
        <f>(SUMIFS(周检修业务统计数据!I:I,周检修业务统计数据!B:B,B49,周检修业务统计数据!C:C,"干箱",周检修业务统计数据!D:D,"&lt;&gt;COS")+SUMIFS(周检修业务统计数据!J:J,周检修业务统计数据!B:B,B49,周检修业务统计数据!C:C,"干箱",周检修业务统计数据!D:D,"&lt;&gt;COS"))*1.13++SUMIFS(周检修业务统计数据!L:L,周检修业务统计数据!B:B,B49,周检修业务统计数据!C:C,"干箱",周检修业务统计数据!D:D,"&lt;&gt;COS")*1.06</f>
        <v>0</v>
      </c>
      <c r="M49" s="76" t="e">
        <f>(L49-'2025年18周'!L49)/'2025年18周'!L49</f>
        <v>#DIV/0!</v>
      </c>
      <c r="N49" s="77" t="e">
        <f t="shared" si="13"/>
        <v>#DIV/0!</v>
      </c>
      <c r="O49" s="76" t="e">
        <f>(N49-'2025年18周'!N49)/'2025年18周'!N49</f>
        <v>#DIV/0!</v>
      </c>
      <c r="P49" s="78">
        <f>(SUMIFS(周检修业务统计数据!I:I,周检修业务统计数据!B:B,B49,周检修业务统计数据!C:C,"&lt;&gt;干箱")+SUMIFS(周检修业务统计数据!J:J,周检修业务统计数据!B:B,B49,周检修业务统计数据!C:C,"&lt;&gt;干箱"))*1.13++SUMIFS(周检修业务统计数据!L:L,周检修业务统计数据!B:B,B49,周检修业务统计数据!C:C,"&lt;&gt;干箱")*1.06</f>
        <v>0</v>
      </c>
      <c r="Q49" s="3"/>
      <c r="R49" s="3"/>
      <c r="S49" s="3">
        <f t="shared" si="14"/>
        <v>0</v>
      </c>
      <c r="T49" s="168">
        <f t="shared" si="15"/>
        <v>0</v>
      </c>
      <c r="U49" s="77">
        <f t="shared" si="16"/>
        <v>0</v>
      </c>
      <c r="V49" s="43" t="e">
        <f t="shared" si="17"/>
        <v>#DIV/0!</v>
      </c>
      <c r="W49" s="3">
        <v>0</v>
      </c>
      <c r="X49" s="150">
        <v>500</v>
      </c>
      <c r="Y49" s="195">
        <f>SUM(T49:T51)-X49</f>
        <v>-258</v>
      </c>
      <c r="Z49" s="210">
        <f ca="1">X49*$Z$2</f>
        <v>9500</v>
      </c>
      <c r="AA49" s="210">
        <f>SUM(自营2026周完成情况!BB59:BB61)</f>
        <v>7340</v>
      </c>
      <c r="AB49" s="210">
        <f ca="1">AA49-Z49</f>
        <v>-2160</v>
      </c>
      <c r="AC49" s="201"/>
      <c r="AD49" s="104"/>
    </row>
    <row r="50" ht="18" customHeight="1" spans="1:30">
      <c r="A50" s="3" t="s">
        <v>12</v>
      </c>
      <c r="B50" s="6" t="s">
        <v>17</v>
      </c>
      <c r="C50" s="6">
        <f>SUMIFS(周检修业务统计数据!E:E,周检修业务统计数据!B:B,B50,周检修业务统计数据!C:C,"干箱",周检修业务统计数据!D:D,"COS")</f>
        <v>178</v>
      </c>
      <c r="D50" s="6">
        <f>C50-'2025年18周'!C50</f>
        <v>-144</v>
      </c>
      <c r="E50" s="75">
        <f>(SUMIFS(周检修业务统计数据!I:I,周检修业务统计数据!B:B,B50,周检修业务统计数据!C:C,"干箱",周检修业务统计数据!D:D,"COS")+SUMIFS(周检修业务统计数据!J:J,周检修业务统计数据!B:B,B50,周检修业务统计数据!C:C,"干箱",周检修业务统计数据!D:D,"COS"))*1.13</f>
        <v>53971.11</v>
      </c>
      <c r="F50" s="76">
        <f>(E50-'2025年18周'!E50)/'2025年18周'!E50</f>
        <v>-0.526</v>
      </c>
      <c r="G50" s="77">
        <f t="shared" si="12"/>
        <v>303</v>
      </c>
      <c r="H50" s="76">
        <f>(G50-'2025年18周'!G50)/'2025年18周'!G50</f>
        <v>-0.1441</v>
      </c>
      <c r="I50" s="6">
        <f>SUMIFS(周检修业务统计数据!L:L,周检修业务统计数据!B:B,B50,周检修业务统计数据!C:C,"干箱",周检修业务统计数据!D:D,"COS")*1.06</f>
        <v>0</v>
      </c>
      <c r="J50" s="6">
        <f>SUMIFS(周检修业务统计数据!E:E,周检修业务统计数据!B:B,B50,周检修业务统计数据!C:C,"干箱",周检修业务统计数据!D:D,"&lt;&gt;COS")</f>
        <v>64</v>
      </c>
      <c r="K50" s="6">
        <f>J50-'2025年18周'!J50</f>
        <v>-66</v>
      </c>
      <c r="L50" s="75">
        <f>(SUMIFS(周检修业务统计数据!I:I,周检修业务统计数据!B:B,B50,周检修业务统计数据!C:C,"干箱",周检修业务统计数据!D:D,"&lt;&gt;COS")+SUMIFS(周检修业务统计数据!J:J,周检修业务统计数据!B:B,B50,周检修业务统计数据!C:C,"干箱",周检修业务统计数据!D:D,"&lt;&gt;COS"))*1.13++SUMIFS(周检修业务统计数据!L:L,周检修业务统计数据!B:B,B50,周检修业务统计数据!C:C,"干箱",周检修业务统计数据!D:D,"&lt;&gt;COS")*1.06</f>
        <v>17920.62</v>
      </c>
      <c r="M50" s="76">
        <f>(L50-'2025年18周'!L50)/'2025年18周'!L50</f>
        <v>-0.6122</v>
      </c>
      <c r="N50" s="77">
        <f t="shared" si="13"/>
        <v>280</v>
      </c>
      <c r="O50" s="76">
        <f>(N50-'2025年18周'!N50)/'2025年18周'!N50</f>
        <v>-0.2113</v>
      </c>
      <c r="P50" s="78">
        <f>(SUMIFS(周检修业务统计数据!I:I,周检修业务统计数据!B:B,B50,周检修业务统计数据!C:C,"&lt;&gt;干箱")+SUMIFS(周检修业务统计数据!J:J,周检修业务统计数据!B:B,B50,周检修业务统计数据!C:C,"&lt;&gt;干箱"))*1.13++SUMIFS(周检修业务统计数据!L:L,周检修业务统计数据!B:B,B50,周检修业务统计数据!C:C,"&lt;&gt;干箱")*1.06</f>
        <v>1190.32</v>
      </c>
      <c r="Q50" s="3">
        <v>14189.5</v>
      </c>
      <c r="R50" s="3">
        <v>120</v>
      </c>
      <c r="S50" s="3">
        <f t="shared" si="14"/>
        <v>0</v>
      </c>
      <c r="T50" s="168">
        <f t="shared" si="15"/>
        <v>242</v>
      </c>
      <c r="U50" s="77">
        <f t="shared" si="16"/>
        <v>87392</v>
      </c>
      <c r="V50" s="43">
        <f t="shared" si="17"/>
        <v>7189</v>
      </c>
      <c r="W50" s="3">
        <v>10</v>
      </c>
      <c r="X50" s="211"/>
      <c r="Y50" s="212"/>
      <c r="Z50" s="213"/>
      <c r="AA50" s="213"/>
      <c r="AB50" s="213"/>
      <c r="AC50" s="201"/>
      <c r="AD50" s="104"/>
    </row>
    <row r="51" ht="18" customHeight="1" spans="1:30">
      <c r="A51" s="3" t="s">
        <v>12</v>
      </c>
      <c r="B51" s="6" t="s">
        <v>18</v>
      </c>
      <c r="C51" s="6">
        <f>SUMIFS(周检修业务统计数据!E:E,周检修业务统计数据!B:B,B51,周检修业务统计数据!C:C,"干箱",周检修业务统计数据!D:D,"COS")</f>
        <v>0</v>
      </c>
      <c r="D51" s="6">
        <f>C51-'2025年18周'!C51</f>
        <v>0</v>
      </c>
      <c r="E51" s="75">
        <f>(SUMIFS(周检修业务统计数据!I:I,周检修业务统计数据!B:B,B51,周检修业务统计数据!C:C,"干箱",周检修业务统计数据!D:D,"COS")+SUMIFS(周检修业务统计数据!J:J,周检修业务统计数据!B:B,B51,周检修业务统计数据!C:C,"干箱",周检修业务统计数据!D:D,"COS"))*1.13</f>
        <v>0</v>
      </c>
      <c r="F51" s="76" t="e">
        <f>(E51-'2025年18周'!E51)/'2025年18周'!E51</f>
        <v>#DIV/0!</v>
      </c>
      <c r="G51" s="77" t="e">
        <f t="shared" si="12"/>
        <v>#DIV/0!</v>
      </c>
      <c r="H51" s="76" t="e">
        <f>(G51-'2025年18周'!G51)/'2025年18周'!G51</f>
        <v>#DIV/0!</v>
      </c>
      <c r="I51" s="6">
        <f>SUMIFS(周检修业务统计数据!L:L,周检修业务统计数据!B:B,B51,周检修业务统计数据!C:C,"干箱",周检修业务统计数据!D:D,"COS")*1.06</f>
        <v>0</v>
      </c>
      <c r="J51" s="6">
        <f>SUMIFS(周检修业务统计数据!E:E,周检修业务统计数据!B:B,B51,周检修业务统计数据!C:C,"干箱",周检修业务统计数据!D:D,"&lt;&gt;COS")</f>
        <v>0</v>
      </c>
      <c r="K51" s="6">
        <f>J51-'2025年18周'!J51</f>
        <v>0</v>
      </c>
      <c r="L51" s="75">
        <f>(SUMIFS(周检修业务统计数据!I:I,周检修业务统计数据!B:B,B51,周检修业务统计数据!C:C,"干箱",周检修业务统计数据!D:D,"&lt;&gt;COS")+SUMIFS(周检修业务统计数据!J:J,周检修业务统计数据!B:B,B51,周检修业务统计数据!C:C,"干箱",周检修业务统计数据!D:D,"&lt;&gt;COS"))*1.13++SUMIFS(周检修业务统计数据!L:L,周检修业务统计数据!B:B,B51,周检修业务统计数据!C:C,"干箱",周检修业务统计数据!D:D,"&lt;&gt;COS")*1.06</f>
        <v>0</v>
      </c>
      <c r="M51" s="76" t="e">
        <f>(L51-'2025年18周'!L51)/'2025年18周'!L51</f>
        <v>#DIV/0!</v>
      </c>
      <c r="N51" s="77" t="e">
        <f t="shared" si="13"/>
        <v>#DIV/0!</v>
      </c>
      <c r="O51" s="76" t="e">
        <f>(N51-'2025年18周'!N51)/'2025年18周'!N51</f>
        <v>#DIV/0!</v>
      </c>
      <c r="P51" s="78">
        <f>(SUMIFS(周检修业务统计数据!I:I,周检修业务统计数据!B:B,B51,周检修业务统计数据!C:C,"&lt;&gt;干箱")+SUMIFS(周检修业务统计数据!J:J,周检修业务统计数据!B:B,B51,周检修业务统计数据!C:C,"&lt;&gt;干箱"))*1.13++SUMIFS(周检修业务统计数据!L:L,周检修业务统计数据!B:B,B51,周检修业务统计数据!C:C,"&lt;&gt;干箱")*1.06</f>
        <v>0</v>
      </c>
      <c r="Q51" s="3"/>
      <c r="R51" s="3"/>
      <c r="S51" s="3">
        <f t="shared" si="14"/>
        <v>0</v>
      </c>
      <c r="T51" s="168">
        <f t="shared" si="15"/>
        <v>0</v>
      </c>
      <c r="U51" s="77">
        <f t="shared" si="16"/>
        <v>0</v>
      </c>
      <c r="V51" s="43" t="e">
        <f t="shared" si="17"/>
        <v>#DIV/0!</v>
      </c>
      <c r="W51" s="3">
        <v>0</v>
      </c>
      <c r="X51" s="214"/>
      <c r="Y51" s="199"/>
      <c r="Z51" s="215"/>
      <c r="AA51" s="215"/>
      <c r="AB51" s="215"/>
      <c r="AC51" s="4"/>
      <c r="AD51" s="104"/>
    </row>
    <row r="52" s="163" customFormat="1" ht="18" customHeight="1" spans="1:30">
      <c r="A52" s="9" t="s">
        <v>19</v>
      </c>
      <c r="B52" s="8" t="s">
        <v>20</v>
      </c>
      <c r="C52" s="8">
        <f>SUMIFS(周检修业务统计数据!E:E,周检修业务统计数据!B:B,B52,周检修业务统计数据!C:C,"干箱",周检修业务统计数据!D:D,"COS")</f>
        <v>1115</v>
      </c>
      <c r="D52" s="8">
        <f>C52-'2025年18周'!C52</f>
        <v>-143</v>
      </c>
      <c r="E52" s="80">
        <f>(SUMIFS(周检修业务统计数据!I:I,周检修业务统计数据!B:B,B52,周检修业务统计数据!C:C,"干箱",周检修业务统计数据!D:D,"COS")+SUMIFS(周检修业务统计数据!J:J,周检修业务统计数据!B:B,B52,周检修业务统计数据!C:C,"干箱",周检修业务统计数据!D:D,"COS"))*1.13</f>
        <v>137277.99</v>
      </c>
      <c r="F52" s="81">
        <f>(E52-'2025年18周'!E52)/'2025年18周'!E52</f>
        <v>-0.1295</v>
      </c>
      <c r="G52" s="82">
        <f t="shared" si="12"/>
        <v>123</v>
      </c>
      <c r="H52" s="81">
        <f>(G52-'2025年18周'!G52)/'2025年18周'!G52</f>
        <v>-0.016</v>
      </c>
      <c r="I52" s="8">
        <f>SUMIFS(周检修业务统计数据!L:L,周检修业务统计数据!B:B,B52,周检修业务统计数据!C:C,"干箱",周检修业务统计数据!D:D,"COS")*1.06</f>
        <v>74163.3982</v>
      </c>
      <c r="J52" s="8">
        <f>SUMIFS(周检修业务统计数据!E:E,周检修业务统计数据!B:B,B52,周检修业务统计数据!C:C,"干箱",周检修业务统计数据!D:D,"&lt;&gt;COS")</f>
        <v>13</v>
      </c>
      <c r="K52" s="8">
        <f>J52-'2025年18周'!J52</f>
        <v>13</v>
      </c>
      <c r="L52" s="80">
        <f>(SUMIFS(周检修业务统计数据!I:I,周检修业务统计数据!B:B,B52,周检修业务统计数据!C:C,"干箱",周检修业务统计数据!D:D,"&lt;&gt;COS")+SUMIFS(周检修业务统计数据!J:J,周检修业务统计数据!B:B,B52,周检修业务统计数据!C:C,"干箱",周检修业务统计数据!D:D,"&lt;&gt;COS"))*1.13++SUMIFS(周检修业务统计数据!L:L,周检修业务统计数据!B:B,B52,周检修业务统计数据!C:C,"干箱",周检修业务统计数据!D:D,"&lt;&gt;COS")*1.06</f>
        <v>1010.1</v>
      </c>
      <c r="M52" s="81" t="e">
        <f>(L52-'2025年18周'!L52)/'2025年18周'!L52</f>
        <v>#DIV/0!</v>
      </c>
      <c r="N52" s="82">
        <f t="shared" si="13"/>
        <v>78</v>
      </c>
      <c r="O52" s="81" t="e">
        <f>(N52-'2025年18周'!N52)/'2025年18周'!N52</f>
        <v>#DIV/0!</v>
      </c>
      <c r="P52" s="83">
        <f>(SUMIFS(周检修业务统计数据!I:I,周检修业务统计数据!B:B,B52,周检修业务统计数据!C:C,"&lt;&gt;干箱")+SUMIFS(周检修业务统计数据!J:J,周检修业务统计数据!B:B,B52,周检修业务统计数据!C:C,"&lt;&gt;干箱"))*1.13++SUMIFS(周检修业务统计数据!L:L,周检修业务统计数据!B:B,B52,周检修业务统计数据!C:C,"&lt;&gt;干箱")*1.06</f>
        <v>0</v>
      </c>
      <c r="Q52" s="9"/>
      <c r="R52" s="9"/>
      <c r="S52" s="9">
        <f t="shared" si="14"/>
        <v>0</v>
      </c>
      <c r="T52" s="168">
        <f t="shared" si="15"/>
        <v>1128</v>
      </c>
      <c r="U52" s="82">
        <f t="shared" si="16"/>
        <v>212451</v>
      </c>
      <c r="V52" s="192">
        <f>(E52+L52+E53+L53+E54+L54)/W52</f>
        <v>14096</v>
      </c>
      <c r="W52" s="193">
        <v>10</v>
      </c>
      <c r="X52" s="194">
        <v>1100</v>
      </c>
      <c r="Y52" s="195">
        <f>T52-X52</f>
        <v>28</v>
      </c>
      <c r="Z52" s="216">
        <f ca="1">X52*$Z$2</f>
        <v>20900</v>
      </c>
      <c r="AA52" s="216">
        <f>SUM(自营2026周完成情况!BB62:BB64)</f>
        <v>22557</v>
      </c>
      <c r="AB52" s="216">
        <f ca="1">AA52-Z52</f>
        <v>1657</v>
      </c>
      <c r="AC52" s="217"/>
      <c r="AD52" s="171"/>
    </row>
    <row r="53" s="163" customFormat="1" ht="18" customHeight="1" spans="1:30">
      <c r="A53" s="9" t="s">
        <v>19</v>
      </c>
      <c r="B53" s="8" t="s">
        <v>21</v>
      </c>
      <c r="C53" s="8">
        <f>SUMIFS(周检修业务统计数据!E:E,周检修业务统计数据!B:B,B53,周检修业务统计数据!C:C,"干箱",周检修业务统计数据!D:D,"COS")</f>
        <v>0</v>
      </c>
      <c r="D53" s="8">
        <f>C53-'2025年18周'!C53</f>
        <v>0</v>
      </c>
      <c r="E53" s="80">
        <f>(SUMIFS(周检修业务统计数据!I:I,周检修业务统计数据!B:B,B53,周检修业务统计数据!C:C,"干箱",周检修业务统计数据!D:D,"COS")+SUMIFS(周检修业务统计数据!J:J,周检修业务统计数据!B:B,B53,周检修业务统计数据!C:C,"干箱",周检修业务统计数据!D:D,"COS"))*1.13</f>
        <v>0</v>
      </c>
      <c r="F53" s="81" t="e">
        <f>(E53-'2025年18周'!E53)/'2025年18周'!E53</f>
        <v>#DIV/0!</v>
      </c>
      <c r="G53" s="82" t="e">
        <f t="shared" si="12"/>
        <v>#DIV/0!</v>
      </c>
      <c r="H53" s="81" t="e">
        <f>(G53-'2025年18周'!G53)/'2025年18周'!G53</f>
        <v>#DIV/0!</v>
      </c>
      <c r="I53" s="8">
        <f>SUMIFS(周检修业务统计数据!L:L,周检修业务统计数据!B:B,B53,周检修业务统计数据!C:C,"干箱",周检修业务统计数据!D:D,"COS")*1.06</f>
        <v>0</v>
      </c>
      <c r="J53" s="8">
        <f>SUMIFS(周检修业务统计数据!E:E,周检修业务统计数据!B:B,B53,周检修业务统计数据!C:C,"干箱",周检修业务统计数据!D:D,"&lt;&gt;COS")</f>
        <v>0</v>
      </c>
      <c r="K53" s="8">
        <f>J53-'2025年18周'!J53</f>
        <v>0</v>
      </c>
      <c r="L53" s="80">
        <f>(SUMIFS(周检修业务统计数据!I:I,周检修业务统计数据!B:B,B53,周检修业务统计数据!C:C,"干箱",周检修业务统计数据!D:D,"&lt;&gt;COS")+SUMIFS(周检修业务统计数据!J:J,周检修业务统计数据!B:B,B53,周检修业务统计数据!C:C,"干箱",周检修业务统计数据!D:D,"&lt;&gt;COS"))*1.13++SUMIFS(周检修业务统计数据!L:L,周检修业务统计数据!B:B,B53,周检修业务统计数据!C:C,"干箱",周检修业务统计数据!D:D,"&lt;&gt;COS")*1.06</f>
        <v>0</v>
      </c>
      <c r="M53" s="81" t="e">
        <f>(L53-'2025年18周'!L53)/'2025年18周'!L53</f>
        <v>#DIV/0!</v>
      </c>
      <c r="N53" s="82" t="e">
        <f t="shared" si="13"/>
        <v>#DIV/0!</v>
      </c>
      <c r="O53" s="81" t="e">
        <f>(N53-'2025年18周'!N53)/'2025年18周'!N53</f>
        <v>#DIV/0!</v>
      </c>
      <c r="P53" s="83">
        <f>(SUMIFS(周检修业务统计数据!I:I,周检修业务统计数据!B:B,B53,周检修业务统计数据!C:C,"&lt;&gt;干箱")+SUMIFS(周检修业务统计数据!J:J,周检修业务统计数据!B:B,B53,周检修业务统计数据!C:C,"&lt;&gt;干箱"))*1.13++SUMIFS(周检修业务统计数据!L:L,周检修业务统计数据!B:B,B53,周检修业务统计数据!C:C,"&lt;&gt;干箱")*1.06</f>
        <v>0</v>
      </c>
      <c r="Q53" s="9"/>
      <c r="R53" s="9"/>
      <c r="S53" s="9">
        <f t="shared" si="14"/>
        <v>0</v>
      </c>
      <c r="T53" s="168">
        <f t="shared" si="15"/>
        <v>0</v>
      </c>
      <c r="U53" s="82">
        <f t="shared" si="16"/>
        <v>0</v>
      </c>
      <c r="V53" s="218"/>
      <c r="W53" s="219"/>
      <c r="X53" s="220"/>
      <c r="Y53" s="212"/>
      <c r="Z53" s="221"/>
      <c r="AA53" s="221"/>
      <c r="AB53" s="221"/>
      <c r="AC53" s="217" t="s">
        <v>219</v>
      </c>
      <c r="AD53" s="171"/>
    </row>
    <row r="54" s="163" customFormat="1" ht="18" customHeight="1" spans="1:30">
      <c r="A54" s="9" t="s">
        <v>19</v>
      </c>
      <c r="B54" s="8" t="s">
        <v>22</v>
      </c>
      <c r="C54" s="8">
        <f>SUMIFS(周检修业务统计数据!E:E,周检修业务统计数据!B:B,B54,周检修业务统计数据!C:C,"干箱",周检修业务统计数据!D:D,"COS")</f>
        <v>9</v>
      </c>
      <c r="D54" s="8">
        <f>C54-'2025年18周'!C54</f>
        <v>-3</v>
      </c>
      <c r="E54" s="80">
        <f>(SUMIFS(周检修业务统计数据!I:I,周检修业务统计数据!B:B,B54,周检修业务统计数据!C:C,"干箱",周检修业务统计数据!D:D,"COS")+SUMIFS(周检修业务统计数据!J:J,周检修业务统计数据!B:B,B54,周检修业务统计数据!C:C,"干箱",周检修业务统计数据!D:D,"COS"))*1.13</f>
        <v>2676.41</v>
      </c>
      <c r="F54" s="81">
        <f>(E54-'2025年18周'!E54)/'2025年18周'!E54</f>
        <v>-0.2965</v>
      </c>
      <c r="G54" s="82">
        <f t="shared" si="12"/>
        <v>297</v>
      </c>
      <c r="H54" s="81">
        <f>(G54-'2025年18周'!G54)/'2025年18周'!G54</f>
        <v>-0.0631</v>
      </c>
      <c r="I54" s="8">
        <f>SUMIFS(周检修业务统计数据!L:L,周检修业务统计数据!B:B,B54,周检修业务统计数据!C:C,"干箱",周检修业务统计数据!D:D,"COS")*1.06</f>
        <v>495.0306</v>
      </c>
      <c r="J54" s="8">
        <f>SUMIFS(周检修业务统计数据!E:E,周检修业务统计数据!B:B,B54,周检修业务统计数据!C:C,"干箱",周检修业务统计数据!D:D,"&lt;&gt;COS")</f>
        <v>0</v>
      </c>
      <c r="K54" s="8">
        <f>J54-'2025年18周'!J54</f>
        <v>0</v>
      </c>
      <c r="L54" s="80">
        <f>(SUMIFS(周检修业务统计数据!I:I,周检修业务统计数据!B:B,B54,周检修业务统计数据!C:C,"干箱",周检修业务统计数据!D:D,"&lt;&gt;COS")+SUMIFS(周检修业务统计数据!J:J,周检修业务统计数据!B:B,B54,周检修业务统计数据!C:C,"干箱",周检修业务统计数据!D:D,"&lt;&gt;COS"))*1.13++SUMIFS(周检修业务统计数据!L:L,周检修业务统计数据!B:B,B54,周检修业务统计数据!C:C,"干箱",周检修业务统计数据!D:D,"&lt;&gt;COS")*1.06</f>
        <v>0</v>
      </c>
      <c r="M54" s="81" t="e">
        <f>(L54-'2025年18周'!L54)/'2025年18周'!L54</f>
        <v>#DIV/0!</v>
      </c>
      <c r="N54" s="82" t="e">
        <f t="shared" si="13"/>
        <v>#DIV/0!</v>
      </c>
      <c r="O54" s="81" t="e">
        <f>(N54-'2025年18周'!N54)/'2025年18周'!N54</f>
        <v>#DIV/0!</v>
      </c>
      <c r="P54" s="83">
        <f>(SUMIFS(周检修业务统计数据!I:I,周检修业务统计数据!B:B,B54,周检修业务统计数据!C:C,"&lt;&gt;干箱")+SUMIFS(周检修业务统计数据!J:J,周检修业务统计数据!B:B,B54,周检修业务统计数据!C:C,"&lt;&gt;干箱"))*1.13++SUMIFS(周检修业务统计数据!L:L,周检修业务统计数据!B:B,B54,周检修业务统计数据!C:C,"&lt;&gt;干箱")*1.06</f>
        <v>0</v>
      </c>
      <c r="Q54" s="9"/>
      <c r="R54" s="9"/>
      <c r="S54" s="9">
        <f t="shared" si="14"/>
        <v>0</v>
      </c>
      <c r="T54" s="168">
        <f t="shared" si="15"/>
        <v>9</v>
      </c>
      <c r="U54" s="82">
        <f t="shared" si="16"/>
        <v>3171</v>
      </c>
      <c r="V54" s="197"/>
      <c r="W54" s="198"/>
      <c r="X54" s="64"/>
      <c r="Y54" s="199"/>
      <c r="Z54" s="222"/>
      <c r="AA54" s="222"/>
      <c r="AB54" s="222"/>
      <c r="AC54" s="217" t="s">
        <v>220</v>
      </c>
      <c r="AD54" s="171"/>
    </row>
    <row r="55" s="163" customFormat="1" ht="18" customHeight="1" spans="1:30">
      <c r="A55" s="9" t="s">
        <v>19</v>
      </c>
      <c r="B55" s="8" t="s">
        <v>23</v>
      </c>
      <c r="C55" s="8">
        <f>SUMIFS(周检修业务统计数据!E:E,周检修业务统计数据!B:B,B55,周检修业务统计数据!C:C,"干箱",周检修业务统计数据!D:D,"COS")</f>
        <v>0</v>
      </c>
      <c r="D55" s="8">
        <f>C55-'2025年18周'!C55</f>
        <v>0</v>
      </c>
      <c r="E55" s="80">
        <f>(SUMIFS(周检修业务统计数据!I:I,周检修业务统计数据!B:B,B55,周检修业务统计数据!C:C,"干箱",周检修业务统计数据!D:D,"COS")+SUMIFS(周检修业务统计数据!J:J,周检修业务统计数据!B:B,B55,周检修业务统计数据!C:C,"干箱",周检修业务统计数据!D:D,"COS"))*1.13</f>
        <v>0</v>
      </c>
      <c r="F55" s="81" t="e">
        <f>(E55-'2025年18周'!E55)/'2025年18周'!E55</f>
        <v>#DIV/0!</v>
      </c>
      <c r="G55" s="82" t="e">
        <f t="shared" si="12"/>
        <v>#DIV/0!</v>
      </c>
      <c r="H55" s="81" t="e">
        <f>(G55-'2025年18周'!G55)/'2025年18周'!G55</f>
        <v>#DIV/0!</v>
      </c>
      <c r="I55" s="8">
        <f>SUMIFS(周检修业务统计数据!L:L,周检修业务统计数据!B:B,B55,周检修业务统计数据!C:C,"干箱",周检修业务统计数据!D:D,"COS")*1.06</f>
        <v>0</v>
      </c>
      <c r="J55" s="8">
        <f>SUMIFS(周检修业务统计数据!E:E,周检修业务统计数据!B:B,B55,周检修业务统计数据!C:C,"干箱",周检修业务统计数据!D:D,"&lt;&gt;COS")</f>
        <v>0</v>
      </c>
      <c r="K55" s="8">
        <f>J55-'2025年18周'!J55</f>
        <v>0</v>
      </c>
      <c r="L55" s="80">
        <f>(SUMIFS(周检修业务统计数据!I:I,周检修业务统计数据!B:B,B55,周检修业务统计数据!C:C,"干箱",周检修业务统计数据!D:D,"&lt;&gt;COS")+SUMIFS(周检修业务统计数据!J:J,周检修业务统计数据!B:B,B55,周检修业务统计数据!C:C,"干箱",周检修业务统计数据!D:D,"&lt;&gt;COS"))*1.13++SUMIFS(周检修业务统计数据!L:L,周检修业务统计数据!B:B,B55,周检修业务统计数据!C:C,"干箱",周检修业务统计数据!D:D,"&lt;&gt;COS")*1.06</f>
        <v>0</v>
      </c>
      <c r="M55" s="81" t="e">
        <f>(L55-'2025年18周'!L55)/'2025年18周'!L55</f>
        <v>#DIV/0!</v>
      </c>
      <c r="N55" s="82" t="e">
        <f t="shared" si="13"/>
        <v>#DIV/0!</v>
      </c>
      <c r="O55" s="81" t="e">
        <f>(N55-'2025年18周'!N55)/'2025年18周'!N55</f>
        <v>#DIV/0!</v>
      </c>
      <c r="P55" s="83">
        <f>(SUMIFS(周检修业务统计数据!I:I,周检修业务统计数据!B:B,B55,周检修业务统计数据!C:C,"&lt;&gt;干箱")+SUMIFS(周检修业务统计数据!J:J,周检修业务统计数据!B:B,B55,周检修业务统计数据!C:C,"&lt;&gt;干箱"))*1.13++SUMIFS(周检修业务统计数据!L:L,周检修业务统计数据!B:B,B55,周检修业务统计数据!C:C,"&lt;&gt;干箱")*1.06</f>
        <v>0</v>
      </c>
      <c r="Q55" s="9"/>
      <c r="R55" s="9">
        <v>2400</v>
      </c>
      <c r="S55" s="9">
        <f t="shared" si="14"/>
        <v>0</v>
      </c>
      <c r="T55" s="168">
        <f t="shared" si="15"/>
        <v>0</v>
      </c>
      <c r="U55" s="82">
        <f t="shared" si="16"/>
        <v>2400</v>
      </c>
      <c r="V55" s="192">
        <f>(E55+L55+E56+L56+E57+L57)/W55</f>
        <v>17038</v>
      </c>
      <c r="W55" s="193">
        <v>5</v>
      </c>
      <c r="X55" s="149">
        <v>500</v>
      </c>
      <c r="Y55" s="195">
        <f>SUM(T55:T57)-X55</f>
        <v>-174</v>
      </c>
      <c r="Z55" s="216">
        <f ca="1">X55*$Z$2</f>
        <v>9500</v>
      </c>
      <c r="AA55" s="216">
        <f>SUM(自营2026周完成情况!BB65:BB67)</f>
        <v>9113</v>
      </c>
      <c r="AB55" s="216">
        <f ca="1">AA55-Z55</f>
        <v>-387</v>
      </c>
      <c r="AC55" s="217"/>
      <c r="AD55" s="171"/>
    </row>
    <row r="56" s="163" customFormat="1" ht="18" customHeight="1" spans="1:30">
      <c r="A56" s="9" t="s">
        <v>19</v>
      </c>
      <c r="B56" s="8" t="s">
        <v>24</v>
      </c>
      <c r="C56" s="8">
        <f>SUMIFS(周检修业务统计数据!E:E,周检修业务统计数据!B:B,B56,周检修业务统计数据!C:C,"干箱",周检修业务统计数据!D:D,"COS")</f>
        <v>115</v>
      </c>
      <c r="D56" s="8">
        <f>C56-'2025年18周'!C56</f>
        <v>-100</v>
      </c>
      <c r="E56" s="80">
        <f>(SUMIFS(周检修业务统计数据!I:I,周检修业务统计数据!B:B,B56,周检修业务统计数据!C:C,"干箱",周检修业务统计数据!D:D,"COS")+SUMIFS(周检修业务统计数据!J:J,周检修业务统计数据!B:B,B56,周检修业务统计数据!C:C,"干箱",周检修业务统计数据!D:D,"COS"))*1.13</f>
        <v>24853.13</v>
      </c>
      <c r="F56" s="81">
        <f>(E56-'2025年18周'!E56)/'2025年18周'!E56</f>
        <v>-0.4392</v>
      </c>
      <c r="G56" s="82">
        <f t="shared" si="12"/>
        <v>216</v>
      </c>
      <c r="H56" s="81">
        <f>(G56-'2025年18周'!G56)/'2025年18周'!G56</f>
        <v>0.0485</v>
      </c>
      <c r="I56" s="8">
        <f>SUMIFS(周检修业务统计数据!L:L,周检修业务统计数据!B:B,B56,周检修业务统计数据!C:C,"干箱",周检修业务统计数据!D:D,"COS")*1.06</f>
        <v>8564.4502</v>
      </c>
      <c r="J56" s="8">
        <f>SUMIFS(周检修业务统计数据!E:E,周检修业务统计数据!B:B,B56,周检修业务统计数据!C:C,"干箱",周检修业务统计数据!D:D,"&lt;&gt;COS")</f>
        <v>20</v>
      </c>
      <c r="K56" s="8">
        <f>J56-'2025年18周'!J56</f>
        <v>-59</v>
      </c>
      <c r="L56" s="80">
        <f>(SUMIFS(周检修业务统计数据!I:I,周检修业务统计数据!B:B,B56,周检修业务统计数据!C:C,"干箱",周检修业务统计数据!D:D,"&lt;&gt;COS")+SUMIFS(周检修业务统计数据!J:J,周检修业务统计数据!B:B,B56,周检修业务统计数据!C:C,"干箱",周检修业务统计数据!D:D,"&lt;&gt;COS"))*1.13++SUMIFS(周检修业务统计数据!L:L,周检修业务统计数据!B:B,B56,周检修业务统计数据!C:C,"干箱",周检修业务统计数据!D:D,"&lt;&gt;COS")*1.06</f>
        <v>5808.43</v>
      </c>
      <c r="M56" s="81">
        <f>(L56-'2025年18周'!L56)/'2025年18周'!L56</f>
        <v>-0.7507</v>
      </c>
      <c r="N56" s="82">
        <f t="shared" si="13"/>
        <v>290</v>
      </c>
      <c r="O56" s="81">
        <f>(N56-'2025年18周'!N56)/'2025年18周'!N56</f>
        <v>-0.0169</v>
      </c>
      <c r="P56" s="83">
        <f>(SUMIFS(周检修业务统计数据!I:I,周检修业务统计数据!B:B,B56,周检修业务统计数据!C:C,"&lt;&gt;干箱")+SUMIFS(周检修业务统计数据!J:J,周检修业务统计数据!B:B,B56,周检修业务统计数据!C:C,"&lt;&gt;干箱"))*1.13++SUMIFS(周检修业务统计数据!L:L,周检修业务统计数据!B:B,B56,周检修业务统计数据!C:C,"&lt;&gt;干箱")*1.06</f>
        <v>0</v>
      </c>
      <c r="Q56" s="9"/>
      <c r="R56" s="9">
        <v>1230</v>
      </c>
      <c r="S56" s="9">
        <f t="shared" si="14"/>
        <v>0</v>
      </c>
      <c r="T56" s="168">
        <f t="shared" si="15"/>
        <v>135</v>
      </c>
      <c r="U56" s="82">
        <f t="shared" si="16"/>
        <v>40456</v>
      </c>
      <c r="V56" s="218"/>
      <c r="W56" s="219"/>
      <c r="X56" s="149"/>
      <c r="Y56" s="212"/>
      <c r="Z56" s="221"/>
      <c r="AA56" s="221"/>
      <c r="AB56" s="221"/>
      <c r="AC56" s="217"/>
      <c r="AD56" s="171"/>
    </row>
    <row r="57" s="163" customFormat="1" ht="18" customHeight="1" spans="1:30">
      <c r="A57" s="9" t="s">
        <v>19</v>
      </c>
      <c r="B57" s="8" t="s">
        <v>25</v>
      </c>
      <c r="C57" s="8">
        <f>SUMIFS(周检修业务统计数据!E:E,周检修业务统计数据!B:B,B57,周检修业务统计数据!C:C,"干箱",周检修业务统计数据!D:D,"COS")</f>
        <v>160</v>
      </c>
      <c r="D57" s="8">
        <f>C57-'2025年18周'!C57</f>
        <v>-36</v>
      </c>
      <c r="E57" s="80">
        <f>(SUMIFS(周检修业务统计数据!I:I,周检修业务统计数据!B:B,B57,周检修业务统计数据!C:C,"干箱",周检修业务统计数据!D:D,"COS")+SUMIFS(周检修业务统计数据!J:J,周检修业务统计数据!B:B,B57,周检修业务统计数据!C:C,"干箱",周检修业务统计数据!D:D,"COS"))*1.13</f>
        <v>46341.42</v>
      </c>
      <c r="F57" s="81">
        <f>(E57-'2025年18周'!E57)/'2025年18周'!E57</f>
        <v>-0.1896</v>
      </c>
      <c r="G57" s="82">
        <f t="shared" si="12"/>
        <v>290</v>
      </c>
      <c r="H57" s="81">
        <f>(G57-'2025年18周'!G57)/'2025年18周'!G57</f>
        <v>-0.0068</v>
      </c>
      <c r="I57" s="8">
        <f>SUMIFS(周检修业务统计数据!L:L,周检修业务统计数据!B:B,B57,周检修业务统计数据!C:C,"干箱",周检修业务统计数据!D:D,"COS")*1.06</f>
        <v>11559.3848</v>
      </c>
      <c r="J57" s="8">
        <f>SUMIFS(周检修业务统计数据!E:E,周检修业务统计数据!B:B,B57,周检修业务统计数据!C:C,"干箱",周检修业务统计数据!D:D,"&lt;&gt;COS")</f>
        <v>31</v>
      </c>
      <c r="K57" s="8">
        <f>J57-'2025年18周'!J57</f>
        <v>-28</v>
      </c>
      <c r="L57" s="80">
        <f>(SUMIFS(周检修业务统计数据!I:I,周检修业务统计数据!B:B,B57,周检修业务统计数据!C:C,"干箱",周检修业务统计数据!D:D,"&lt;&gt;COS")+SUMIFS(周检修业务统计数据!J:J,周检修业务统计数据!B:B,B57,周检修业务统计数据!C:C,"干箱",周检修业务统计数据!D:D,"&lt;&gt;COS"))*1.13++SUMIFS(周检修业务统计数据!L:L,周检修业务统计数据!B:B,B57,周检修业务统计数据!C:C,"干箱",周检修业务统计数据!D:D,"&lt;&gt;COS")*1.06</f>
        <v>8188.05</v>
      </c>
      <c r="M57" s="81">
        <f>(L57-'2025年18周'!L57)/'2025年18周'!L57</f>
        <v>-0.5478</v>
      </c>
      <c r="N57" s="82">
        <f t="shared" si="13"/>
        <v>264</v>
      </c>
      <c r="O57" s="81">
        <f>(N57-'2025年18周'!N57)/'2025年18周'!N57</f>
        <v>-0.1401</v>
      </c>
      <c r="P57" s="83">
        <f>(SUMIFS(周检修业务统计数据!I:I,周检修业务统计数据!B:B,B57,周检修业务统计数据!C:C,"&lt;&gt;干箱")+SUMIFS(周检修业务统计数据!J:J,周检修业务统计数据!B:B,B57,周检修业务统计数据!C:C,"&lt;&gt;干箱"))*1.13++SUMIFS(周检修业务统计数据!L:L,周检修业务统计数据!B:B,B57,周检修业务统计数据!C:C,"&lt;&gt;干箱")*1.06</f>
        <v>10865.54</v>
      </c>
      <c r="Q57" s="202"/>
      <c r="R57" s="9"/>
      <c r="S57" s="9">
        <f t="shared" si="14"/>
        <v>0</v>
      </c>
      <c r="T57" s="168">
        <f t="shared" si="15"/>
        <v>191</v>
      </c>
      <c r="U57" s="82">
        <f t="shared" si="16"/>
        <v>76954</v>
      </c>
      <c r="V57" s="197"/>
      <c r="W57" s="198"/>
      <c r="X57" s="149"/>
      <c r="Y57" s="199"/>
      <c r="Z57" s="222"/>
      <c r="AA57" s="222"/>
      <c r="AB57" s="222"/>
      <c r="AC57" s="217"/>
      <c r="AD57" s="171"/>
    </row>
    <row r="58" s="163" customFormat="1" ht="18" customHeight="1" spans="1:30">
      <c r="A58" s="9" t="s">
        <v>19</v>
      </c>
      <c r="B58" s="8" t="s">
        <v>26</v>
      </c>
      <c r="C58" s="8">
        <f>SUMIFS(周检修业务统计数据!E:E,周检修业务统计数据!B:B,B58,周检修业务统计数据!C:C,"干箱",周检修业务统计数据!D:D,"COS")</f>
        <v>324</v>
      </c>
      <c r="D58" s="8">
        <f>C58-'2025年18周'!C58</f>
        <v>-143</v>
      </c>
      <c r="E58" s="80">
        <f>(SUMIFS(周检修业务统计数据!I:I,周检修业务统计数据!B:B,B58,周检修业务统计数据!C:C,"干箱",周检修业务统计数据!D:D,"COS")+SUMIFS(周检修业务统计数据!J:J,周检修业务统计数据!B:B,B58,周检修业务统计数据!C:C,"干箱",周检修业务统计数据!D:D,"COS"))*1.13</f>
        <v>40046.88</v>
      </c>
      <c r="F58" s="81">
        <f>(E58-'2025年18周'!E58)/'2025年18周'!E58</f>
        <v>-0.3463</v>
      </c>
      <c r="G58" s="82">
        <f t="shared" si="12"/>
        <v>124</v>
      </c>
      <c r="H58" s="81">
        <f>(G58-'2025年18周'!G58)/'2025年18周'!G58</f>
        <v>-0.0534</v>
      </c>
      <c r="I58" s="8">
        <f>SUMIFS(周检修业务统计数据!L:L,周检修业务统计数据!B:B,B58,周检修业务统计数据!C:C,"干箱",周检修业务统计数据!D:D,"COS")*1.06</f>
        <v>20160.1188</v>
      </c>
      <c r="J58" s="8">
        <f>SUMIFS(周检修业务统计数据!E:E,周检修业务统计数据!B:B,B58,周检修业务统计数据!C:C,"干箱",周检修业务统计数据!D:D,"&lt;&gt;COS")</f>
        <v>1</v>
      </c>
      <c r="K58" s="8">
        <f>J58-'2025年18周'!J58</f>
        <v>-7</v>
      </c>
      <c r="L58" s="80">
        <f>(SUMIFS(周检修业务统计数据!I:I,周检修业务统计数据!B:B,B58,周检修业务统计数据!C:C,"干箱",周检修业务统计数据!D:D,"&lt;&gt;COS")+SUMIFS(周检修业务统计数据!J:J,周检修业务统计数据!B:B,B58,周检修业务统计数据!C:C,"干箱",周检修业务统计数据!D:D,"&lt;&gt;COS"))*1.13++SUMIFS(周检修业务统计数据!L:L,周检修业务统计数据!B:B,B58,周检修业务统计数据!C:C,"干箱",周检修业务统计数据!D:D,"&lt;&gt;COS")*1.06</f>
        <v>143.41</v>
      </c>
      <c r="M58" s="81">
        <f>(L58-'2025年18周'!L58)/'2025年18周'!L58</f>
        <v>-0.8673</v>
      </c>
      <c r="N58" s="82">
        <f t="shared" si="13"/>
        <v>143</v>
      </c>
      <c r="O58" s="81">
        <f>(N58-'2025年18周'!N58)/'2025年18周'!N58</f>
        <v>0.0593</v>
      </c>
      <c r="P58" s="83">
        <f>(SUMIFS(周检修业务统计数据!I:I,周检修业务统计数据!B:B,B58,周检修业务统计数据!C:C,"&lt;&gt;干箱")+SUMIFS(周检修业务统计数据!J:J,周检修业务统计数据!B:B,B58,周检修业务统计数据!C:C,"&lt;&gt;干箱"))*1.13++SUMIFS(周检修业务统计数据!L:L,周检修业务统计数据!B:B,B58,周检修业务统计数据!C:C,"&lt;&gt;干箱")*1.06</f>
        <v>0</v>
      </c>
      <c r="Q58" s="9"/>
      <c r="R58" s="9"/>
      <c r="S58" s="9">
        <f t="shared" si="14"/>
        <v>0</v>
      </c>
      <c r="T58" s="168">
        <f t="shared" si="15"/>
        <v>325</v>
      </c>
      <c r="U58" s="82">
        <f t="shared" si="16"/>
        <v>60350</v>
      </c>
      <c r="V58" s="192">
        <f>(E58+L58+E59+L59+E60+L60)/W58</f>
        <v>10484</v>
      </c>
      <c r="W58" s="193">
        <v>4</v>
      </c>
      <c r="X58" s="194">
        <v>400</v>
      </c>
      <c r="Y58" s="195">
        <f>T58-X58</f>
        <v>-75</v>
      </c>
      <c r="Z58" s="216">
        <f ca="1">X58*$Z$2</f>
        <v>7600</v>
      </c>
      <c r="AA58" s="216">
        <f>SUM(自营2026周完成情况!BB68:BB70)</f>
        <v>9874</v>
      </c>
      <c r="AB58" s="216">
        <f ca="1">AA58-Z58</f>
        <v>2274</v>
      </c>
      <c r="AC58" s="217"/>
      <c r="AD58" s="171"/>
    </row>
    <row r="59" s="163" customFormat="1" ht="18" customHeight="1" spans="1:30">
      <c r="A59" s="9" t="s">
        <v>19</v>
      </c>
      <c r="B59" s="8" t="s">
        <v>27</v>
      </c>
      <c r="C59" s="8">
        <f>SUMIFS(周检修业务统计数据!E:E,周检修业务统计数据!B:B,B59,周检修业务统计数据!C:C,"干箱",周检修业务统计数据!D:D,"COS")</f>
        <v>0</v>
      </c>
      <c r="D59" s="8">
        <f>C59-'2025年18周'!C59</f>
        <v>0</v>
      </c>
      <c r="E59" s="80">
        <f>(SUMIFS(周检修业务统计数据!I:I,周检修业务统计数据!B:B,B59,周检修业务统计数据!C:C,"干箱",周检修业务统计数据!D:D,"COS")+SUMIFS(周检修业务统计数据!J:J,周检修业务统计数据!B:B,B59,周检修业务统计数据!C:C,"干箱",周检修业务统计数据!D:D,"COS"))*1.13</f>
        <v>0</v>
      </c>
      <c r="F59" s="81" t="e">
        <f>(E59-'2025年18周'!E59)/'2025年18周'!E59</f>
        <v>#DIV/0!</v>
      </c>
      <c r="G59" s="82" t="e">
        <f t="shared" si="12"/>
        <v>#DIV/0!</v>
      </c>
      <c r="H59" s="81" t="e">
        <f>(G59-'2025年18周'!G59)/'2025年18周'!G59</f>
        <v>#DIV/0!</v>
      </c>
      <c r="I59" s="8">
        <f>SUMIFS(周检修业务统计数据!L:L,周检修业务统计数据!B:B,B59,周检修业务统计数据!C:C,"干箱",周检修业务统计数据!D:D,"COS")*1.06</f>
        <v>0</v>
      </c>
      <c r="J59" s="8">
        <f>SUMIFS(周检修业务统计数据!E:E,周检修业务统计数据!B:B,B59,周检修业务统计数据!C:C,"干箱",周检修业务统计数据!D:D,"&lt;&gt;COS")</f>
        <v>0</v>
      </c>
      <c r="K59" s="8">
        <f>J59-'2025年18周'!J59</f>
        <v>0</v>
      </c>
      <c r="L59" s="80">
        <f>(SUMIFS(周检修业务统计数据!I:I,周检修业务统计数据!B:B,B59,周检修业务统计数据!C:C,"干箱",周检修业务统计数据!D:D,"&lt;&gt;COS")+SUMIFS(周检修业务统计数据!J:J,周检修业务统计数据!B:B,B59,周检修业务统计数据!C:C,"干箱",周检修业务统计数据!D:D,"&lt;&gt;COS"))*1.13++SUMIFS(周检修业务统计数据!L:L,周检修业务统计数据!B:B,B59,周检修业务统计数据!C:C,"干箱",周检修业务统计数据!D:D,"&lt;&gt;COS")*1.06</f>
        <v>0</v>
      </c>
      <c r="M59" s="81" t="e">
        <f>(L59-'2025年18周'!L59)/'2025年18周'!L59</f>
        <v>#DIV/0!</v>
      </c>
      <c r="N59" s="82" t="e">
        <f t="shared" si="13"/>
        <v>#DIV/0!</v>
      </c>
      <c r="O59" s="81" t="e">
        <f>(N59-'2025年18周'!N59)/'2025年18周'!N59</f>
        <v>#DIV/0!</v>
      </c>
      <c r="P59" s="83">
        <f>(SUMIFS(周检修业务统计数据!I:I,周检修业务统计数据!B:B,B59,周检修业务统计数据!C:C,"&lt;&gt;干箱")+SUMIFS(周检修业务统计数据!J:J,周检修业务统计数据!B:B,B59,周检修业务统计数据!C:C,"&lt;&gt;干箱"))*1.13++SUMIFS(周检修业务统计数据!L:L,周检修业务统计数据!B:B,B59,周检修业务统计数据!C:C,"&lt;&gt;干箱")*1.06</f>
        <v>0</v>
      </c>
      <c r="Q59" s="9"/>
      <c r="R59" s="9"/>
      <c r="S59" s="9">
        <f t="shared" si="14"/>
        <v>0</v>
      </c>
      <c r="T59" s="168">
        <f t="shared" si="15"/>
        <v>0</v>
      </c>
      <c r="U59" s="82">
        <f t="shared" si="16"/>
        <v>0</v>
      </c>
      <c r="V59" s="218"/>
      <c r="W59" s="219"/>
      <c r="X59" s="220"/>
      <c r="Y59" s="212"/>
      <c r="Z59" s="221"/>
      <c r="AA59" s="221"/>
      <c r="AB59" s="221"/>
      <c r="AC59" s="217"/>
      <c r="AD59" s="171"/>
    </row>
    <row r="60" s="163" customFormat="1" ht="18" customHeight="1" spans="1:30">
      <c r="A60" s="9" t="s">
        <v>19</v>
      </c>
      <c r="B60" s="8" t="s">
        <v>28</v>
      </c>
      <c r="C60" s="8">
        <f>SUMIFS(周检修业务统计数据!E:E,周检修业务统计数据!B:B,B60,周检修业务统计数据!C:C,"干箱",周检修业务统计数据!D:D,"COS")</f>
        <v>42</v>
      </c>
      <c r="D60" s="8">
        <f>C60-'2025年18周'!C60</f>
        <v>-38</v>
      </c>
      <c r="E60" s="80">
        <f>(SUMIFS(周检修业务统计数据!I:I,周检修业务统计数据!B:B,B60,周检修业务统计数据!C:C,"干箱",周检修业务统计数据!D:D,"COS")+SUMIFS(周检修业务统计数据!J:J,周检修业务统计数据!B:B,B60,周检修业务统计数据!C:C,"干箱",周检修业务统计数据!D:D,"COS"))*1.13</f>
        <v>1744.71</v>
      </c>
      <c r="F60" s="81">
        <f>(E60-'2025年18周'!E60)/'2025年18周'!E60</f>
        <v>-0.6111</v>
      </c>
      <c r="G60" s="82">
        <f t="shared" si="12"/>
        <v>42</v>
      </c>
      <c r="H60" s="81">
        <f>(G60-'2025年18周'!G60)/'2025年18周'!G60</f>
        <v>-0.25</v>
      </c>
      <c r="I60" s="8">
        <f>SUMIFS(周检修业务统计数据!L:L,周检修业务统计数据!B:B,B60,周检修业务统计数据!C:C,"干箱",周检修业务统计数据!D:D,"COS")*1.06</f>
        <v>2450.084</v>
      </c>
      <c r="J60" s="8">
        <f>SUMIFS(周检修业务统计数据!E:E,周检修业务统计数据!B:B,B60,周检修业务统计数据!C:C,"干箱",周检修业务统计数据!D:D,"&lt;&gt;COS")</f>
        <v>0</v>
      </c>
      <c r="K60" s="8">
        <f>J60-'2025年18周'!J60</f>
        <v>0</v>
      </c>
      <c r="L60" s="80">
        <f>(SUMIFS(周检修业务统计数据!I:I,周检修业务统计数据!B:B,B60,周检修业务统计数据!C:C,"干箱",周检修业务统计数据!D:D,"&lt;&gt;COS")+SUMIFS(周检修业务统计数据!J:J,周检修业务统计数据!B:B,B60,周检修业务统计数据!C:C,"干箱",周检修业务统计数据!D:D,"&lt;&gt;COS"))*1.13++SUMIFS(周检修业务统计数据!L:L,周检修业务统计数据!B:B,B60,周检修业务统计数据!C:C,"干箱",周检修业务统计数据!D:D,"&lt;&gt;COS")*1.06</f>
        <v>0</v>
      </c>
      <c r="M60" s="81" t="e">
        <f>(L60-'2025年18周'!L60)/'2025年18周'!L60</f>
        <v>#DIV/0!</v>
      </c>
      <c r="N60" s="82" t="e">
        <f t="shared" si="13"/>
        <v>#DIV/0!</v>
      </c>
      <c r="O60" s="81" t="e">
        <f>(N60-'2025年18周'!N60)/'2025年18周'!N60</f>
        <v>#DIV/0!</v>
      </c>
      <c r="P60" s="83">
        <f>(SUMIFS(周检修业务统计数据!I:I,周检修业务统计数据!B:B,B60,周检修业务统计数据!C:C,"&lt;&gt;干箱")+SUMIFS(周检修业务统计数据!J:J,周检修业务统计数据!B:B,B60,周检修业务统计数据!C:C,"&lt;&gt;干箱"))*1.13++SUMIFS(周检修业务统计数据!L:L,周检修业务统计数据!B:B,B60,周检修业务统计数据!C:C,"&lt;&gt;干箱")*1.06</f>
        <v>0</v>
      </c>
      <c r="Q60" s="9"/>
      <c r="R60" s="9"/>
      <c r="S60" s="9">
        <f t="shared" si="14"/>
        <v>0</v>
      </c>
      <c r="T60" s="168">
        <f t="shared" si="15"/>
        <v>42</v>
      </c>
      <c r="U60" s="82">
        <f t="shared" si="16"/>
        <v>4195</v>
      </c>
      <c r="V60" s="197"/>
      <c r="W60" s="198"/>
      <c r="X60" s="64"/>
      <c r="Y60" s="199"/>
      <c r="Z60" s="222"/>
      <c r="AA60" s="222"/>
      <c r="AB60" s="222"/>
      <c r="AC60" s="217"/>
      <c r="AD60" s="171"/>
    </row>
    <row r="61" s="163" customFormat="1" ht="18" customHeight="1" spans="1:30">
      <c r="A61" s="9" t="s">
        <v>19</v>
      </c>
      <c r="B61" s="8" t="s">
        <v>29</v>
      </c>
      <c r="C61" s="8">
        <f>SUMIFS(周检修业务统计数据!E:E,周检修业务统计数据!B:B,B61,周检修业务统计数据!C:C,"干箱",周检修业务统计数据!D:D,"COS")</f>
        <v>308</v>
      </c>
      <c r="D61" s="8">
        <f>C61-'2025年18周'!C61</f>
        <v>-313</v>
      </c>
      <c r="E61" s="80">
        <f>(SUMIFS(周检修业务统计数据!I:I,周检修业务统计数据!B:B,B61,周检修业务统计数据!C:C,"干箱",周检修业务统计数据!D:D,"COS")+SUMIFS(周检修业务统计数据!J:J,周检修业务统计数据!B:B,B61,周检修业务统计数据!C:C,"干箱",周检修业务统计数据!D:D,"COS"))*1.13</f>
        <v>43197.69</v>
      </c>
      <c r="F61" s="81">
        <f>(E61-'2025年18周'!E61)/'2025年18周'!E61</f>
        <v>-0.5777</v>
      </c>
      <c r="G61" s="82">
        <f t="shared" si="12"/>
        <v>140</v>
      </c>
      <c r="H61" s="81">
        <f>(G61-'2025年18周'!G61)/'2025年18周'!G61</f>
        <v>-0.1515</v>
      </c>
      <c r="I61" s="8">
        <f>SUMIFS(周检修业务统计数据!L:L,周检修业务统计数据!B:B,B61,周检修业务统计数据!C:C,"干箱",周检修业务统计数据!D:D,"COS")*1.06</f>
        <v>18740.2912</v>
      </c>
      <c r="J61" s="8">
        <f>SUMIFS(周检修业务统计数据!E:E,周检修业务统计数据!B:B,B61,周检修业务统计数据!C:C,"干箱",周检修业务统计数据!D:D,"&lt;&gt;COS")</f>
        <v>1</v>
      </c>
      <c r="K61" s="8">
        <f>J61-'2025年18周'!J61</f>
        <v>-1</v>
      </c>
      <c r="L61" s="80">
        <f>(SUMIFS(周检修业务统计数据!I:I,周检修业务统计数据!B:B,B61,周检修业务统计数据!C:C,"干箱",周检修业务统计数据!D:D,"&lt;&gt;COS")+SUMIFS(周检修业务统计数据!J:J,周检修业务统计数据!B:B,B61,周检修业务统计数据!C:C,"干箱",周检修业务统计数据!D:D,"&lt;&gt;COS"))*1.13++SUMIFS(周检修业务统计数据!L:L,周检修业务统计数据!B:B,B61,周检修业务统计数据!C:C,"干箱",周检修业务统计数据!D:D,"&lt;&gt;COS")*1.06</f>
        <v>407.7</v>
      </c>
      <c r="M61" s="81">
        <f>(L61-'2025年18周'!L61)/'2025年18周'!L61</f>
        <v>0.1455</v>
      </c>
      <c r="N61" s="82">
        <f t="shared" si="13"/>
        <v>408</v>
      </c>
      <c r="O61" s="81">
        <f>(N61-'2025年18周'!N61)/'2025年18周'!N61</f>
        <v>1.2921</v>
      </c>
      <c r="P61" s="83">
        <f>(SUMIFS(周检修业务统计数据!I:I,周检修业务统计数据!B:B,B61,周检修业务统计数据!C:C,"&lt;&gt;干箱")+SUMIFS(周检修业务统计数据!J:J,周检修业务统计数据!B:B,B61,周检修业务统计数据!C:C,"&lt;&gt;干箱"))*1.13++SUMIFS(周检修业务统计数据!L:L,周检修业务统计数据!B:B,B61,周检修业务统计数据!C:C,"&lt;&gt;干箱")*1.06</f>
        <v>0</v>
      </c>
      <c r="Q61" s="202"/>
      <c r="R61" s="9">
        <v>7490</v>
      </c>
      <c r="S61" s="9">
        <f t="shared" si="14"/>
        <v>0</v>
      </c>
      <c r="T61" s="168">
        <f t="shared" si="15"/>
        <v>309</v>
      </c>
      <c r="U61" s="82">
        <f t="shared" si="16"/>
        <v>69836</v>
      </c>
      <c r="V61" s="50">
        <f t="shared" si="17"/>
        <v>8721</v>
      </c>
      <c r="W61" s="9">
        <v>5</v>
      </c>
      <c r="X61" s="149">
        <v>500</v>
      </c>
      <c r="Y61" s="200">
        <f>T61-X61</f>
        <v>-191</v>
      </c>
      <c r="Z61" s="148">
        <f ca="1">X61*$Z$2</f>
        <v>9500</v>
      </c>
      <c r="AA61" s="148">
        <f>自营2026周完成情况!BB71</f>
        <v>9801</v>
      </c>
      <c r="AB61" s="148">
        <f ca="1">AA61-Z61</f>
        <v>301</v>
      </c>
      <c r="AC61" s="217"/>
      <c r="AD61" s="171"/>
    </row>
    <row r="62" ht="18" customHeight="1" spans="1:30">
      <c r="A62" s="3" t="s">
        <v>30</v>
      </c>
      <c r="B62" s="6" t="s">
        <v>31</v>
      </c>
      <c r="C62" s="6">
        <f>SUMIFS(周检修业务统计数据!E:E,周检修业务统计数据!B:B,B62,周检修业务统计数据!C:C,"干箱",周检修业务统计数据!D:D,"COS")</f>
        <v>232</v>
      </c>
      <c r="D62" s="6">
        <f>C62-'2025年18周'!C62</f>
        <v>-160</v>
      </c>
      <c r="E62" s="75">
        <f>(SUMIFS(周检修业务统计数据!I:I,周检修业务统计数据!B:B,B62,周检修业务统计数据!C:C,"干箱",周检修业务统计数据!D:D,"COS")+SUMIFS(周检修业务统计数据!J:J,周检修业务统计数据!B:B,B62,周检修业务统计数据!C:C,"干箱",周检修业务统计数据!D:D,"COS"))*1.13</f>
        <v>49098.23</v>
      </c>
      <c r="F62" s="76">
        <f>(E62-'2025年18周'!E62)/'2025年18周'!E62</f>
        <v>-0.4289</v>
      </c>
      <c r="G62" s="77">
        <f t="shared" si="12"/>
        <v>212</v>
      </c>
      <c r="H62" s="76">
        <f>(G62-'2025年18周'!G62)/'2025年18周'!G62</f>
        <v>-0.032</v>
      </c>
      <c r="I62" s="6">
        <f>SUMIFS(周检修业务统计数据!L:L,周检修业务统计数据!B:B,B62,周检修业务统计数据!C:C,"干箱",周检修业务统计数据!D:D,"COS")*1.06</f>
        <v>12800.772</v>
      </c>
      <c r="J62" s="6">
        <f>SUMIFS(周检修业务统计数据!E:E,周检修业务统计数据!B:B,B62,周检修业务统计数据!C:C,"干箱",周检修业务统计数据!D:D,"&lt;&gt;COS")</f>
        <v>0</v>
      </c>
      <c r="K62" s="6">
        <f>J62-'2025年18周'!J62</f>
        <v>-18</v>
      </c>
      <c r="L62" s="75">
        <f>(SUMIFS(周检修业务统计数据!I:I,周检修业务统计数据!B:B,B62,周检修业务统计数据!C:C,"干箱",周检修业务统计数据!D:D,"&lt;&gt;COS")+SUMIFS(周检修业务统计数据!J:J,周检修业务统计数据!B:B,B62,周检修业务统计数据!C:C,"干箱",周检修业务统计数据!D:D,"&lt;&gt;COS"))*1.13++SUMIFS(周检修业务统计数据!L:L,周检修业务统计数据!B:B,B62,周检修业务统计数据!C:C,"干箱",周检修业务统计数据!D:D,"&lt;&gt;COS")*1.06</f>
        <v>0</v>
      </c>
      <c r="M62" s="76">
        <f>(L62-'2025年18周'!L62)/'2025年18周'!L62</f>
        <v>-1</v>
      </c>
      <c r="N62" s="77" t="e">
        <f t="shared" si="13"/>
        <v>#DIV/0!</v>
      </c>
      <c r="O62" s="76" t="e">
        <f>(N62-'2025年18周'!N62)/'2025年18周'!N62</f>
        <v>#DIV/0!</v>
      </c>
      <c r="P62" s="78">
        <f>(SUMIFS(周检修业务统计数据!I:I,周检修业务统计数据!B:B,B62,周检修业务统计数据!C:C,"&lt;&gt;干箱")+SUMIFS(周检修业务统计数据!J:J,周检修业务统计数据!B:B,B62,周检修业务统计数据!C:C,"&lt;&gt;干箱"))*1.13++SUMIFS(周检修业务统计数据!L:L,周检修业务统计数据!B:B,B62,周检修业务统计数据!C:C,"&lt;&gt;干箱")*1.06</f>
        <v>0</v>
      </c>
      <c r="Q62" s="3"/>
      <c r="R62" s="3"/>
      <c r="S62" s="3">
        <f t="shared" si="14"/>
        <v>0</v>
      </c>
      <c r="T62" s="168">
        <f t="shared" si="15"/>
        <v>232</v>
      </c>
      <c r="U62" s="77">
        <f t="shared" si="16"/>
        <v>61899</v>
      </c>
      <c r="V62" s="43">
        <f t="shared" si="17"/>
        <v>8183</v>
      </c>
      <c r="W62" s="3">
        <v>6</v>
      </c>
      <c r="X62" s="146">
        <v>450</v>
      </c>
      <c r="Y62" s="200">
        <f>T62-X62</f>
        <v>-218</v>
      </c>
      <c r="Z62" s="145">
        <f ca="1">X62*$Z$2</f>
        <v>8550</v>
      </c>
      <c r="AA62" s="145">
        <f>自营2026周完成情况!BB72</f>
        <v>6412</v>
      </c>
      <c r="AB62" s="145">
        <f ca="1">AA62-Z62</f>
        <v>-2138</v>
      </c>
      <c r="AC62" s="201"/>
      <c r="AD62" s="104"/>
    </row>
    <row r="63" ht="18" customHeight="1" spans="1:30">
      <c r="A63" s="3" t="s">
        <v>30</v>
      </c>
      <c r="B63" s="6" t="s">
        <v>32</v>
      </c>
      <c r="C63" s="6">
        <f>SUMIFS(周检修业务统计数据!E:E,周检修业务统计数据!B:B,B63,周检修业务统计数据!C:C,"干箱",周检修业务统计数据!D:D,"COS")</f>
        <v>53</v>
      </c>
      <c r="D63" s="6">
        <f>C63-'2025年18周'!C63</f>
        <v>-76</v>
      </c>
      <c r="E63" s="75">
        <f>(SUMIFS(周检修业务统计数据!I:I,周检修业务统计数据!B:B,B63,周检修业务统计数据!C:C,"干箱",周检修业务统计数据!D:D,"COS")+SUMIFS(周检修业务统计数据!J:J,周检修业务统计数据!B:B,B63,周检修业务统计数据!C:C,"干箱",周检修业务统计数据!D:D,"COS"))*1.13</f>
        <v>12076.5</v>
      </c>
      <c r="F63" s="76">
        <f>(E63-'2025年18周'!E63)/'2025年18周'!E63</f>
        <v>-0.7875</v>
      </c>
      <c r="G63" s="77">
        <f t="shared" si="12"/>
        <v>228</v>
      </c>
      <c r="H63" s="76">
        <f>(G63-'2025年18周'!G63)/'2025年18周'!G63</f>
        <v>-0.483</v>
      </c>
      <c r="I63" s="6">
        <f>SUMIFS(周检修业务统计数据!L:L,周检修业务统计数据!B:B,B63,周检修业务统计数据!C:C,"干箱",周检修业务统计数据!D:D,"COS")*1.06</f>
        <v>2915.1802</v>
      </c>
      <c r="J63" s="6">
        <f>SUMIFS(周检修业务统计数据!E:E,周检修业务统计数据!B:B,B63,周检修业务统计数据!C:C,"干箱",周检修业务统计数据!D:D,"&lt;&gt;COS")</f>
        <v>4</v>
      </c>
      <c r="K63" s="6">
        <f>J63-'2025年18周'!J63</f>
        <v>-100</v>
      </c>
      <c r="L63" s="75">
        <f>(SUMIFS(周检修业务统计数据!I:I,周检修业务统计数据!B:B,B63,周检修业务统计数据!C:C,"干箱",周检修业务统计数据!D:D,"&lt;&gt;COS")+SUMIFS(周检修业务统计数据!J:J,周检修业务统计数据!B:B,B63,周检修业务统计数据!C:C,"干箱",周检修业务统计数据!D:D,"&lt;&gt;COS"))*1.13++SUMIFS(周检修业务统计数据!L:L,周检修业务统计数据!B:B,B63,周检修业务统计数据!C:C,"干箱",周检修业务统计数据!D:D,"&lt;&gt;COS")*1.06</f>
        <v>1763.72</v>
      </c>
      <c r="M63" s="76">
        <f>(L63-'2025年18周'!L63)/'2025年18周'!L63</f>
        <v>-0.9542</v>
      </c>
      <c r="N63" s="77">
        <f t="shared" si="13"/>
        <v>441</v>
      </c>
      <c r="O63" s="76">
        <f>(N63-'2025年18周'!N63)/'2025年18周'!N63</f>
        <v>0.1919</v>
      </c>
      <c r="P63" s="78">
        <f>(SUMIFS(周检修业务统计数据!I:I,周检修业务统计数据!B:B,B63,周检修业务统计数据!C:C,"&lt;&gt;干箱")+SUMIFS(周检修业务统计数据!J:J,周检修业务统计数据!B:B,B63,周检修业务统计数据!C:C,"&lt;&gt;干箱"))*1.13++SUMIFS(周检修业务统计数据!L:L,周检修业务统计数据!B:B,B63,周检修业务统计数据!C:C,"&lt;&gt;干箱")*1.06</f>
        <v>0</v>
      </c>
      <c r="Q63" s="3"/>
      <c r="R63" s="3"/>
      <c r="S63" s="3">
        <f t="shared" si="14"/>
        <v>0</v>
      </c>
      <c r="T63" s="168">
        <f t="shared" si="15"/>
        <v>57</v>
      </c>
      <c r="U63" s="77">
        <f t="shared" si="16"/>
        <v>16755</v>
      </c>
      <c r="V63" s="43">
        <f t="shared" si="17"/>
        <v>1730</v>
      </c>
      <c r="W63" s="3">
        <v>8</v>
      </c>
      <c r="X63" s="146">
        <v>300</v>
      </c>
      <c r="Y63" s="200">
        <f>T63-X63</f>
        <v>-243</v>
      </c>
      <c r="Z63" s="145">
        <f ca="1">X63*$Z$2</f>
        <v>5700</v>
      </c>
      <c r="AA63" s="145">
        <f>自营2026周完成情况!BB73</f>
        <v>2170</v>
      </c>
      <c r="AB63" s="145">
        <f ca="1">AA63-Z63</f>
        <v>-3530</v>
      </c>
      <c r="AC63" s="201"/>
      <c r="AD63" s="104"/>
    </row>
    <row r="64" ht="18" customHeight="1" spans="1:30">
      <c r="A64" s="3" t="s">
        <v>30</v>
      </c>
      <c r="B64" s="6" t="s">
        <v>33</v>
      </c>
      <c r="C64" s="6">
        <f>SUMIFS(周检修业务统计数据!E:E,周检修业务统计数据!B:B,B64,周检修业务统计数据!C:C,"干箱",周检修业务统计数据!D:D,"COS")</f>
        <v>20</v>
      </c>
      <c r="D64" s="6">
        <f>C64-'2025年18周'!C64</f>
        <v>-24</v>
      </c>
      <c r="E64" s="75">
        <f>(SUMIFS(周检修业务统计数据!I:I,周检修业务统计数据!B:B,B64,周检修业务统计数据!C:C,"干箱",周检修业务统计数据!D:D,"COS")+SUMIFS(周检修业务统计数据!J:J,周检修业务统计数据!B:B,B64,周检修业务统计数据!C:C,"干箱",周检修业务统计数据!D:D,"COS"))*1.13</f>
        <v>6131.79</v>
      </c>
      <c r="F64" s="76">
        <f>(E64-'2025年18周'!E64)/'2025年18周'!E64</f>
        <v>-0.406</v>
      </c>
      <c r="G64" s="77">
        <f t="shared" si="12"/>
        <v>307</v>
      </c>
      <c r="H64" s="76">
        <f>(G64-'2025年18周'!G64)/'2025年18周'!G64</f>
        <v>0.3064</v>
      </c>
      <c r="I64" s="6">
        <f>SUMIFS(周检修业务统计数据!L:L,周检修业务统计数据!B:B,B64,周检修业务统计数据!C:C,"干箱",周检修业务统计数据!D:D,"COS")*1.06</f>
        <v>1100.068</v>
      </c>
      <c r="J64" s="6">
        <f>SUMIFS(周检修业务统计数据!E:E,周检修业务统计数据!B:B,B64,周检修业务统计数据!C:C,"干箱",周检修业务统计数据!D:D,"&lt;&gt;COS")</f>
        <v>18</v>
      </c>
      <c r="K64" s="6">
        <f>J64-'2025年18周'!J64</f>
        <v>-45</v>
      </c>
      <c r="L64" s="75">
        <f>(SUMIFS(周检修业务统计数据!I:I,周检修业务统计数据!B:B,B64,周检修业务统计数据!C:C,"干箱",周检修业务统计数据!D:D,"&lt;&gt;COS")+SUMIFS(周检修业务统计数据!J:J,周检修业务统计数据!B:B,B64,周检修业务统计数据!C:C,"干箱",周检修业务统计数据!D:D,"&lt;&gt;COS"))*1.13++SUMIFS(周检修业务统计数据!L:L,周检修业务统计数据!B:B,B64,周检修业务统计数据!C:C,"干箱",周检修业务统计数据!D:D,"&lt;&gt;COS")*1.06</f>
        <v>7008.82</v>
      </c>
      <c r="M64" s="76">
        <f>(L64-'2025年18周'!L64)/'2025年18周'!L64</f>
        <v>-0.4865</v>
      </c>
      <c r="N64" s="77">
        <f t="shared" si="13"/>
        <v>389</v>
      </c>
      <c r="O64" s="76">
        <f>(N64-'2025年18周'!N64)/'2025年18周'!N64</f>
        <v>0.7926</v>
      </c>
      <c r="P64" s="78">
        <f>(SUMIFS(周检修业务统计数据!I:I,周检修业务统计数据!B:B,B64,周检修业务统计数据!C:C,"&lt;&gt;干箱")+SUMIFS(周检修业务统计数据!J:J,周检修业务统计数据!B:B,B64,周检修业务统计数据!C:C,"&lt;&gt;干箱"))*1.13++SUMIFS(周检修业务统计数据!L:L,周检修业务统计数据!B:B,B64,周检修业务统计数据!C:C,"&lt;&gt;干箱")*1.06</f>
        <v>0</v>
      </c>
      <c r="Q64" s="3"/>
      <c r="R64" s="3"/>
      <c r="S64" s="3">
        <f t="shared" si="14"/>
        <v>0</v>
      </c>
      <c r="T64" s="168">
        <f t="shared" si="15"/>
        <v>38</v>
      </c>
      <c r="U64" s="77">
        <f t="shared" si="16"/>
        <v>14241</v>
      </c>
      <c r="V64" s="43">
        <f t="shared" si="17"/>
        <v>1877</v>
      </c>
      <c r="W64" s="3">
        <v>7</v>
      </c>
      <c r="X64" s="146">
        <v>150</v>
      </c>
      <c r="Y64" s="200">
        <f>T64-X64</f>
        <v>-112</v>
      </c>
      <c r="Z64" s="145">
        <f ca="1">X64*$Z$2</f>
        <v>2850</v>
      </c>
      <c r="AA64" s="145">
        <f>自营2026周完成情况!BB74</f>
        <v>1326</v>
      </c>
      <c r="AB64" s="145">
        <f ca="1">AA64-Z64</f>
        <v>-1524</v>
      </c>
      <c r="AC64" s="201"/>
      <c r="AD64" s="104"/>
    </row>
    <row r="65" ht="18" customHeight="1" spans="1:30">
      <c r="A65" s="3" t="s">
        <v>30</v>
      </c>
      <c r="B65" s="6" t="s">
        <v>34</v>
      </c>
      <c r="C65" s="6">
        <f>SUMIFS(周检修业务统计数据!E:E,周检修业务统计数据!B:B,B65,周检修业务统计数据!C:C,"干箱",周检修业务统计数据!D:D,"COS")</f>
        <v>167</v>
      </c>
      <c r="D65" s="6">
        <f>C65-'2025年18周'!C65</f>
        <v>-92</v>
      </c>
      <c r="E65" s="75">
        <f>(SUMIFS(周检修业务统计数据!I:I,周检修业务统计数据!B:B,B65,周检修业务统计数据!C:C,"干箱",周检修业务统计数据!D:D,"COS")+SUMIFS(周检修业务统计数据!J:J,周检修业务统计数据!B:B,B65,周检修业务统计数据!C:C,"干箱",周检修业务统计数据!D:D,"COS"))*1.13</f>
        <v>45307.46</v>
      </c>
      <c r="F65" s="76">
        <f>(E65-'2025年18周'!E65)/'2025年18周'!E65</f>
        <v>-0.2037</v>
      </c>
      <c r="G65" s="77">
        <f t="shared" si="12"/>
        <v>271</v>
      </c>
      <c r="H65" s="76">
        <f>(G65-'2025年18周'!G65)/'2025年18周'!G65</f>
        <v>0.2318</v>
      </c>
      <c r="I65" s="6">
        <f>SUMIFS(周检修业务统计数据!L:L,周检修业务统计数据!B:B,B65,周检修业务统计数据!C:C,"干箱",周检修业务统计数据!D:D,"COS")*1.06</f>
        <v>0</v>
      </c>
      <c r="J65" s="6">
        <f>SUMIFS(周检修业务统计数据!E:E,周检修业务统计数据!B:B,B65,周检修业务统计数据!C:C,"干箱",周检修业务统计数据!D:D,"&lt;&gt;COS")</f>
        <v>0</v>
      </c>
      <c r="K65" s="6">
        <f>J65-'2025年18周'!J65</f>
        <v>0</v>
      </c>
      <c r="L65" s="75">
        <f>(SUMIFS(周检修业务统计数据!I:I,周检修业务统计数据!B:B,B65,周检修业务统计数据!C:C,"干箱",周检修业务统计数据!D:D,"&lt;&gt;COS")+SUMIFS(周检修业务统计数据!J:J,周检修业务统计数据!B:B,B65,周检修业务统计数据!C:C,"干箱",周检修业务统计数据!D:D,"&lt;&gt;COS"))*1.13++SUMIFS(周检修业务统计数据!L:L,周检修业务统计数据!B:B,B65,周检修业务统计数据!C:C,"干箱",周检修业务统计数据!D:D,"&lt;&gt;COS")*1.06</f>
        <v>0</v>
      </c>
      <c r="M65" s="76" t="e">
        <f>(L65-'2025年18周'!L65)/'2025年18周'!L65</f>
        <v>#DIV/0!</v>
      </c>
      <c r="N65" s="77" t="e">
        <f t="shared" si="13"/>
        <v>#DIV/0!</v>
      </c>
      <c r="O65" s="76" t="e">
        <f>(N65-'2025年18周'!N65)/'2025年18周'!N65</f>
        <v>#DIV/0!</v>
      </c>
      <c r="P65" s="78">
        <f>(SUMIFS(周检修业务统计数据!I:I,周检修业务统计数据!B:B,B65,周检修业务统计数据!C:C,"&lt;&gt;干箱")+SUMIFS(周检修业务统计数据!J:J,周检修业务统计数据!B:B,B65,周检修业务统计数据!C:C,"&lt;&gt;干箱"))*1.13++SUMIFS(周检修业务统计数据!L:L,周检修业务统计数据!B:B,B65,周检修业务统计数据!C:C,"&lt;&gt;干箱")*1.06</f>
        <v>0</v>
      </c>
      <c r="Q65" s="202">
        <v>6882</v>
      </c>
      <c r="R65" s="3"/>
      <c r="S65" s="3">
        <f t="shared" si="14"/>
        <v>0</v>
      </c>
      <c r="T65" s="168">
        <f t="shared" si="15"/>
        <v>167</v>
      </c>
      <c r="U65" s="77">
        <f t="shared" si="16"/>
        <v>52189</v>
      </c>
      <c r="V65" s="43">
        <f t="shared" si="17"/>
        <v>6472</v>
      </c>
      <c r="W65" s="3">
        <v>7</v>
      </c>
      <c r="X65" s="150">
        <v>350</v>
      </c>
      <c r="Y65" s="195">
        <f>SUM(T65:T67)-X65</f>
        <v>-182</v>
      </c>
      <c r="Z65" s="210">
        <f ca="1">X65*$Z$2</f>
        <v>6650</v>
      </c>
      <c r="AA65" s="210">
        <f>SUM(自营2026周完成情况!BB75:BB77)</f>
        <v>3925</v>
      </c>
      <c r="AB65" s="210">
        <f ca="1">AA65-Z65</f>
        <v>-2725</v>
      </c>
      <c r="AC65" s="201"/>
      <c r="AD65" s="104"/>
    </row>
    <row r="66" ht="18" customHeight="1" spans="1:30">
      <c r="A66" s="3" t="s">
        <v>30</v>
      </c>
      <c r="B66" s="6" t="s">
        <v>35</v>
      </c>
      <c r="C66" s="6">
        <f>SUMIFS(周检修业务统计数据!E:E,周检修业务统计数据!B:B,B66,周检修业务统计数据!C:C,"干箱",周检修业务统计数据!D:D,"COS")</f>
        <v>0</v>
      </c>
      <c r="D66" s="6">
        <f>C66-'2025年18周'!C66</f>
        <v>0</v>
      </c>
      <c r="E66" s="75">
        <f>(SUMIFS(周检修业务统计数据!I:I,周检修业务统计数据!B:B,B66,周检修业务统计数据!C:C,"干箱",周检修业务统计数据!D:D,"COS")+SUMIFS(周检修业务统计数据!J:J,周检修业务统计数据!B:B,B66,周检修业务统计数据!C:C,"干箱",周检修业务统计数据!D:D,"COS"))*1.13</f>
        <v>0</v>
      </c>
      <c r="F66" s="76" t="e">
        <f>(E66-'2025年18周'!E66)/'2025年18周'!E66</f>
        <v>#DIV/0!</v>
      </c>
      <c r="G66" s="77" t="e">
        <f t="shared" si="12"/>
        <v>#DIV/0!</v>
      </c>
      <c r="H66" s="76" t="e">
        <f>(G66-'2025年18周'!G66)/'2025年18周'!G66</f>
        <v>#DIV/0!</v>
      </c>
      <c r="I66" s="6">
        <f>SUMIFS(周检修业务统计数据!L:L,周检修业务统计数据!B:B,B66,周检修业务统计数据!C:C,"干箱",周检修业务统计数据!D:D,"COS")*1.06</f>
        <v>0</v>
      </c>
      <c r="J66" s="6">
        <f>SUMIFS(周检修业务统计数据!E:E,周检修业务统计数据!B:B,B66,周检修业务统计数据!C:C,"干箱",周检修业务统计数据!D:D,"&lt;&gt;COS")</f>
        <v>0</v>
      </c>
      <c r="K66" s="6">
        <f>J66-'2025年18周'!J66</f>
        <v>0</v>
      </c>
      <c r="L66" s="75">
        <f>(SUMIFS(周检修业务统计数据!I:I,周检修业务统计数据!B:B,B66,周检修业务统计数据!C:C,"干箱",周检修业务统计数据!D:D,"&lt;&gt;COS")+SUMIFS(周检修业务统计数据!J:J,周检修业务统计数据!B:B,B66,周检修业务统计数据!C:C,"干箱",周检修业务统计数据!D:D,"&lt;&gt;COS"))*1.13++SUMIFS(周检修业务统计数据!L:L,周检修业务统计数据!B:B,B66,周检修业务统计数据!C:C,"干箱",周检修业务统计数据!D:D,"&lt;&gt;COS")*1.06</f>
        <v>0</v>
      </c>
      <c r="M66" s="76" t="e">
        <f>(L66-'2025年18周'!L66)/'2025年18周'!L66</f>
        <v>#DIV/0!</v>
      </c>
      <c r="N66" s="77" t="e">
        <f t="shared" si="13"/>
        <v>#DIV/0!</v>
      </c>
      <c r="O66" s="76" t="e">
        <f>(N66-'2025年18周'!N66)/'2025年18周'!N66</f>
        <v>#DIV/0!</v>
      </c>
      <c r="P66" s="78">
        <f>(SUMIFS(周检修业务统计数据!I:I,周检修业务统计数据!B:B,B66,周检修业务统计数据!C:C,"&lt;&gt;干箱")+SUMIFS(周检修业务统计数据!J:J,周检修业务统计数据!B:B,B66,周检修业务统计数据!C:C,"&lt;&gt;干箱"))*1.13++SUMIFS(周检修业务统计数据!L:L,周检修业务统计数据!B:B,B66,周检修业务统计数据!C:C,"&lt;&gt;干箱")*1.06</f>
        <v>0</v>
      </c>
      <c r="Q66" s="3"/>
      <c r="R66" s="3"/>
      <c r="S66" s="3">
        <f t="shared" si="14"/>
        <v>0</v>
      </c>
      <c r="T66" s="168">
        <f t="shared" si="15"/>
        <v>0</v>
      </c>
      <c r="U66" s="77">
        <f t="shared" si="16"/>
        <v>0</v>
      </c>
      <c r="V66" s="43" t="e">
        <f t="shared" si="17"/>
        <v>#DIV/0!</v>
      </c>
      <c r="W66" s="3">
        <v>0</v>
      </c>
      <c r="X66" s="211"/>
      <c r="Y66" s="212"/>
      <c r="Z66" s="213"/>
      <c r="AA66" s="213"/>
      <c r="AB66" s="213"/>
      <c r="AC66" s="201" t="s">
        <v>221</v>
      </c>
      <c r="AD66" s="104"/>
    </row>
    <row r="67" ht="18" customHeight="1" spans="1:30">
      <c r="A67" s="3" t="s">
        <v>30</v>
      </c>
      <c r="B67" s="6" t="s">
        <v>36</v>
      </c>
      <c r="C67" s="6">
        <f>SUMIFS(周检修业务统计数据!E:E,周检修业务统计数据!B:B,B67,周检修业务统计数据!C:C,"干箱",周检修业务统计数据!D:D,"COS")</f>
        <v>1</v>
      </c>
      <c r="D67" s="6">
        <f>C67-'2025年18周'!C67</f>
        <v>-7</v>
      </c>
      <c r="E67" s="75">
        <f>(SUMIFS(周检修业务统计数据!I:I,周检修业务统计数据!B:B,B67,周检修业务统计数据!C:C,"干箱",周检修业务统计数据!D:D,"COS")+SUMIFS(周检修业务统计数据!J:J,周检修业务统计数据!B:B,B67,周检修业务统计数据!C:C,"干箱",周检修业务统计数据!D:D,"COS"))*1.13</f>
        <v>71.21</v>
      </c>
      <c r="F67" s="76">
        <f>(E67-'2025年18周'!E67)/'2025年18周'!E67</f>
        <v>-0.8462</v>
      </c>
      <c r="G67" s="77">
        <f t="shared" si="12"/>
        <v>71</v>
      </c>
      <c r="H67" s="76">
        <f>(G67-'2025年18周'!G67)/'2025年18周'!G67</f>
        <v>0.2241</v>
      </c>
      <c r="I67" s="6">
        <f>SUMIFS(周检修业务统计数据!L:L,周检修业务统计数据!B:B,B67,周检修业务统计数据!C:C,"干箱",周检修业务统计数据!D:D,"COS")*1.06</f>
        <v>74.995</v>
      </c>
      <c r="J67" s="6">
        <f>SUMIFS(周检修业务统计数据!E:E,周检修业务统计数据!B:B,B67,周检修业务统计数据!C:C,"干箱",周检修业务统计数据!D:D,"&lt;&gt;COS")</f>
        <v>0</v>
      </c>
      <c r="K67" s="6">
        <f>J67-'2025年18周'!J67</f>
        <v>0</v>
      </c>
      <c r="L67" s="75">
        <f>(SUMIFS(周检修业务统计数据!I:I,周检修业务统计数据!B:B,B67,周检修业务统计数据!C:C,"干箱",周检修业务统计数据!D:D,"&lt;&gt;COS")+SUMIFS(周检修业务统计数据!J:J,周检修业务统计数据!B:B,B67,周检修业务统计数据!C:C,"干箱",周检修业务统计数据!D:D,"&lt;&gt;COS"))*1.13++SUMIFS(周检修业务统计数据!L:L,周检修业务统计数据!B:B,B67,周检修业务统计数据!C:C,"干箱",周检修业务统计数据!D:D,"&lt;&gt;COS")*1.06</f>
        <v>0</v>
      </c>
      <c r="M67" s="76" t="e">
        <f>(L67-'2025年18周'!L67)/'2025年18周'!L67</f>
        <v>#DIV/0!</v>
      </c>
      <c r="N67" s="77" t="e">
        <f t="shared" si="13"/>
        <v>#DIV/0!</v>
      </c>
      <c r="O67" s="76" t="e">
        <f>(N67-'2025年18周'!N67)/'2025年18周'!N67</f>
        <v>#DIV/0!</v>
      </c>
      <c r="P67" s="78">
        <f>(SUMIFS(周检修业务统计数据!I:I,周检修业务统计数据!B:B,B67,周检修业务统计数据!C:C,"&lt;&gt;干箱")+SUMIFS(周检修业务统计数据!J:J,周检修业务统计数据!B:B,B67,周检修业务统计数据!C:C,"&lt;&gt;干箱"))*1.13++SUMIFS(周检修业务统计数据!L:L,周检修业务统计数据!B:B,B67,周检修业务统计数据!C:C,"&lt;&gt;干箱")*1.06</f>
        <v>0</v>
      </c>
      <c r="Q67" s="3"/>
      <c r="R67" s="3"/>
      <c r="S67" s="3">
        <f t="shared" si="14"/>
        <v>0</v>
      </c>
      <c r="T67" s="168">
        <f t="shared" si="15"/>
        <v>1</v>
      </c>
      <c r="U67" s="77">
        <f t="shared" si="16"/>
        <v>146</v>
      </c>
      <c r="V67" s="43">
        <f t="shared" si="17"/>
        <v>71</v>
      </c>
      <c r="W67" s="3">
        <v>1</v>
      </c>
      <c r="X67" s="214"/>
      <c r="Y67" s="199"/>
      <c r="Z67" s="215"/>
      <c r="AA67" s="215"/>
      <c r="AB67" s="215"/>
      <c r="AC67" s="201"/>
      <c r="AD67" s="104"/>
    </row>
    <row r="68" ht="18" customHeight="1" spans="1:30">
      <c r="A68" s="3" t="s">
        <v>30</v>
      </c>
      <c r="B68" s="6" t="s">
        <v>37</v>
      </c>
      <c r="C68" s="6">
        <f>SUMIFS(周检修业务统计数据!E:E,周检修业务统计数据!B:B,B68,周检修业务统计数据!C:C,"干箱",周检修业务统计数据!D:D,"COS")</f>
        <v>146</v>
      </c>
      <c r="D68" s="6">
        <f>C68-'2025年18周'!C68</f>
        <v>-23</v>
      </c>
      <c r="E68" s="75">
        <f>(SUMIFS(周检修业务统计数据!I:I,周检修业务统计数据!B:B,B68,周检修业务统计数据!C:C,"干箱",周检修业务统计数据!D:D,"COS")+SUMIFS(周检修业务统计数据!J:J,周检修业务统计数据!B:B,B68,周检修业务统计数据!C:C,"干箱",周检修业务统计数据!D:D,"COS"))*1.13</f>
        <v>44291.28</v>
      </c>
      <c r="F68" s="76">
        <f>(E68-'2025年18周'!E68)/'2025年18周'!E68</f>
        <v>-0.0386</v>
      </c>
      <c r="G68" s="77">
        <f t="shared" si="12"/>
        <v>303</v>
      </c>
      <c r="H68" s="76">
        <f>(G68-'2025年18周'!G68)/'2025年18周'!G68</f>
        <v>0.1099</v>
      </c>
      <c r="I68" s="6">
        <f>SUMIFS(周检修业务统计数据!L:L,周检修业务统计数据!B:B,B68,周检修业务统计数据!C:C,"干箱",周检修业务统计数据!D:D,"COS")*1.06</f>
        <v>8550.278</v>
      </c>
      <c r="J68" s="6">
        <f>SUMIFS(周检修业务统计数据!E:E,周检修业务统计数据!B:B,B68,周检修业务统计数据!C:C,"干箱",周检修业务统计数据!D:D,"&lt;&gt;COS")</f>
        <v>0</v>
      </c>
      <c r="K68" s="6">
        <f>J68-'2025年18周'!J68</f>
        <v>-5</v>
      </c>
      <c r="L68" s="75">
        <f>(SUMIFS(周检修业务统计数据!I:I,周检修业务统计数据!B:B,B68,周检修业务统计数据!C:C,"干箱",周检修业务统计数据!D:D,"&lt;&gt;COS")+SUMIFS(周检修业务统计数据!J:J,周检修业务统计数据!B:B,B68,周检修业务统计数据!C:C,"干箱",周检修业务统计数据!D:D,"&lt;&gt;COS"))*1.13++SUMIFS(周检修业务统计数据!L:L,周检修业务统计数据!B:B,B68,周检修业务统计数据!C:C,"干箱",周检修业务统计数据!D:D,"&lt;&gt;COS")*1.06</f>
        <v>0</v>
      </c>
      <c r="M68" s="76">
        <f>(L68-'2025年18周'!L68)/'2025年18周'!L68</f>
        <v>-1</v>
      </c>
      <c r="N68" s="77" t="e">
        <f t="shared" si="13"/>
        <v>#DIV/0!</v>
      </c>
      <c r="O68" s="76" t="e">
        <f>(N68-'2025年18周'!N68)/'2025年18周'!N68</f>
        <v>#DIV/0!</v>
      </c>
      <c r="P68" s="78">
        <f>(SUMIFS(周检修业务统计数据!I:I,周检修业务统计数据!B:B,B68,周检修业务统计数据!C:C,"&lt;&gt;干箱")+SUMIFS(周检修业务统计数据!J:J,周检修业务统计数据!B:B,B68,周检修业务统计数据!C:C,"&lt;&gt;干箱"))*1.13++SUMIFS(周检修业务统计数据!L:L,周检修业务统计数据!B:B,B68,周检修业务统计数据!C:C,"&lt;&gt;干箱")*1.06</f>
        <v>0</v>
      </c>
      <c r="Q68" s="3"/>
      <c r="R68" s="3"/>
      <c r="S68" s="3">
        <f t="shared" si="14"/>
        <v>0</v>
      </c>
      <c r="T68" s="168">
        <f t="shared" si="15"/>
        <v>146</v>
      </c>
      <c r="U68" s="77">
        <f t="shared" si="16"/>
        <v>52842</v>
      </c>
      <c r="V68" s="43">
        <f t="shared" si="17"/>
        <v>5536</v>
      </c>
      <c r="W68" s="3">
        <v>8</v>
      </c>
      <c r="X68" s="146">
        <v>350</v>
      </c>
      <c r="Y68" s="200">
        <f t="shared" ref="Y68:Y79" si="18">T68-X68</f>
        <v>-204</v>
      </c>
      <c r="Z68" s="145">
        <f ca="1" t="shared" ref="Z68:Z80" si="19">X68*$Z$2</f>
        <v>6650</v>
      </c>
      <c r="AA68" s="145">
        <f>自营2026周完成情况!BB78</f>
        <v>5798</v>
      </c>
      <c r="AB68" s="145">
        <f ca="1" t="shared" ref="AB68:AB77" si="20">AA68-Z68</f>
        <v>-852</v>
      </c>
      <c r="AC68" s="201"/>
      <c r="AD68" s="104"/>
    </row>
    <row r="69" ht="18" customHeight="1" spans="1:30">
      <c r="A69" s="3" t="s">
        <v>30</v>
      </c>
      <c r="B69" s="6" t="s">
        <v>38</v>
      </c>
      <c r="C69" s="6">
        <f>SUMIFS(周检修业务统计数据!E:E,周检修业务统计数据!B:B,B69,周检修业务统计数据!C:C,"干箱",周检修业务统计数据!D:D,"COS")</f>
        <v>35</v>
      </c>
      <c r="D69" s="6">
        <f>C69-'2025年18周'!C69</f>
        <v>-82</v>
      </c>
      <c r="E69" s="75">
        <f>(SUMIFS(周检修业务统计数据!I:I,周检修业务统计数据!B:B,B69,周检修业务统计数据!C:C,"干箱",周检修业务统计数据!D:D,"COS")+SUMIFS(周检修业务统计数据!J:J,周检修业务统计数据!B:B,B69,周检修业务统计数据!C:C,"干箱",周检修业务统计数据!D:D,"COS"))*1.13</f>
        <v>11979.22</v>
      </c>
      <c r="F69" s="76">
        <f>(E69-'2025年18周'!E69)/'2025年18周'!E69</f>
        <v>-0.6987</v>
      </c>
      <c r="G69" s="77">
        <f t="shared" si="12"/>
        <v>342</v>
      </c>
      <c r="H69" s="76">
        <f>(G69-'2025年18周'!G69)/'2025年18周'!G69</f>
        <v>0.0059</v>
      </c>
      <c r="I69" s="6">
        <f>SUMIFS(周检修业务统计数据!L:L,周检修业务统计数据!B:B,B69,周检修业务统计数据!C:C,"干箱",周检修业务统计数据!D:D,"COS")*1.06</f>
        <v>1945.1106</v>
      </c>
      <c r="J69" s="6">
        <f>SUMIFS(周检修业务统计数据!E:E,周检修业务统计数据!B:B,B69,周检修业务统计数据!C:C,"干箱",周检修业务统计数据!D:D,"&lt;&gt;COS")</f>
        <v>0</v>
      </c>
      <c r="K69" s="6">
        <f>J69-'2025年18周'!J69</f>
        <v>0</v>
      </c>
      <c r="L69" s="75">
        <f>(SUMIFS(周检修业务统计数据!I:I,周检修业务统计数据!B:B,B69,周检修业务统计数据!C:C,"干箱",周检修业务统计数据!D:D,"&lt;&gt;COS")+SUMIFS(周检修业务统计数据!J:J,周检修业务统计数据!B:B,B69,周检修业务统计数据!C:C,"干箱",周检修业务统计数据!D:D,"&lt;&gt;COS"))*1.13++SUMIFS(周检修业务统计数据!L:L,周检修业务统计数据!B:B,B69,周检修业务统计数据!C:C,"干箱",周检修业务统计数据!D:D,"&lt;&gt;COS")*1.06</f>
        <v>0</v>
      </c>
      <c r="M69" s="76" t="e">
        <f>(L69-'2025年18周'!L69)/'2025年18周'!L69</f>
        <v>#DIV/0!</v>
      </c>
      <c r="N69" s="77" t="e">
        <f t="shared" si="13"/>
        <v>#DIV/0!</v>
      </c>
      <c r="O69" s="76" t="e">
        <f>(N69-'2025年18周'!N69)/'2025年18周'!N69</f>
        <v>#DIV/0!</v>
      </c>
      <c r="P69" s="78">
        <f>(SUMIFS(周检修业务统计数据!I:I,周检修业务统计数据!B:B,B69,周检修业务统计数据!C:C,"&lt;&gt;干箱")+SUMIFS(周检修业务统计数据!J:J,周检修业务统计数据!B:B,B69,周检修业务统计数据!C:C,"&lt;&gt;干箱"))*1.13++SUMIFS(周检修业务统计数据!L:L,周检修业务统计数据!B:B,B69,周检修业务统计数据!C:C,"&lt;&gt;干箱")*1.06</f>
        <v>0</v>
      </c>
      <c r="Q69" s="3"/>
      <c r="R69" s="3"/>
      <c r="S69" s="3">
        <f t="shared" si="14"/>
        <v>0</v>
      </c>
      <c r="T69" s="168">
        <f t="shared" si="15"/>
        <v>35</v>
      </c>
      <c r="U69" s="77">
        <f t="shared" si="16"/>
        <v>13924</v>
      </c>
      <c r="V69" s="43">
        <f t="shared" si="17"/>
        <v>2995</v>
      </c>
      <c r="W69" s="3">
        <v>4</v>
      </c>
      <c r="X69" s="146">
        <v>200</v>
      </c>
      <c r="Y69" s="200">
        <f t="shared" si="18"/>
        <v>-165</v>
      </c>
      <c r="Z69" s="145">
        <f ca="1" t="shared" si="19"/>
        <v>3800</v>
      </c>
      <c r="AA69" s="145">
        <f>自营2026周完成情况!BB79</f>
        <v>2438</v>
      </c>
      <c r="AB69" s="145">
        <f ca="1" t="shared" si="20"/>
        <v>-1362</v>
      </c>
      <c r="AC69" s="201"/>
      <c r="AD69" s="104"/>
    </row>
    <row r="70" ht="18" customHeight="1" spans="1:30">
      <c r="A70" s="3" t="s">
        <v>30</v>
      </c>
      <c r="B70" s="6" t="s">
        <v>39</v>
      </c>
      <c r="C70" s="6">
        <f>SUMIFS(周检修业务统计数据!E:E,周检修业务统计数据!B:B,B70,周检修业务统计数据!C:C,"干箱",周检修业务统计数据!D:D,"COS")</f>
        <v>73</v>
      </c>
      <c r="D70" s="6">
        <f>C70-'2025年18周'!C70</f>
        <v>-25</v>
      </c>
      <c r="E70" s="75">
        <f>(SUMIFS(周检修业务统计数据!I:I,周检修业务统计数据!B:B,B70,周检修业务统计数据!C:C,"干箱",周检修业务统计数据!D:D,"COS")+SUMIFS(周检修业务统计数据!J:J,周检修业务统计数据!B:B,B70,周检修业务统计数据!C:C,"干箱",周检修业务统计数据!D:D,"COS"))*1.13</f>
        <v>6239.65</v>
      </c>
      <c r="F70" s="76">
        <f>(E70-'2025年18周'!E70)/'2025年18周'!E70</f>
        <v>-0.3749</v>
      </c>
      <c r="G70" s="77">
        <f t="shared" si="12"/>
        <v>85</v>
      </c>
      <c r="H70" s="76">
        <f>(G70-'2025年18周'!G70)/'2025年18周'!G70</f>
        <v>-0.1667</v>
      </c>
      <c r="I70" s="6">
        <f>SUMIFS(周检修业务统计数据!L:L,周检修业务统计数据!B:B,B70,周检修业务统计数据!C:C,"干箱",周检修业务统计数据!D:D,"COS")*1.06</f>
        <v>4335.1138</v>
      </c>
      <c r="J70" s="6">
        <f>SUMIFS(周检修业务统计数据!E:E,周检修业务统计数据!B:B,B70,周检修业务统计数据!C:C,"干箱",周检修业务统计数据!D:D,"&lt;&gt;COS")</f>
        <v>0</v>
      </c>
      <c r="K70" s="6">
        <f>J70-'2025年18周'!J70</f>
        <v>0</v>
      </c>
      <c r="L70" s="75">
        <f>(SUMIFS(周检修业务统计数据!I:I,周检修业务统计数据!B:B,B70,周检修业务统计数据!C:C,"干箱",周检修业务统计数据!D:D,"&lt;&gt;COS")+SUMIFS(周检修业务统计数据!J:J,周检修业务统计数据!B:B,B70,周检修业务统计数据!C:C,"干箱",周检修业务统计数据!D:D,"&lt;&gt;COS"))*1.13++SUMIFS(周检修业务统计数据!L:L,周检修业务统计数据!B:B,B70,周检修业务统计数据!C:C,"干箱",周检修业务统计数据!D:D,"&lt;&gt;COS")*1.06</f>
        <v>0</v>
      </c>
      <c r="M70" s="76" t="e">
        <f>(L70-'2025年18周'!L70)/'2025年18周'!L70</f>
        <v>#DIV/0!</v>
      </c>
      <c r="N70" s="77" t="e">
        <f t="shared" si="13"/>
        <v>#DIV/0!</v>
      </c>
      <c r="O70" s="76" t="e">
        <f>(N70-'2025年18周'!N70)/'2025年18周'!N70</f>
        <v>#DIV/0!</v>
      </c>
      <c r="P70" s="78">
        <f>(SUMIFS(周检修业务统计数据!I:I,周检修业务统计数据!B:B,B70,周检修业务统计数据!C:C,"&lt;&gt;干箱")+SUMIFS(周检修业务统计数据!J:J,周检修业务统计数据!B:B,B70,周检修业务统计数据!C:C,"&lt;&gt;干箱"))*1.13++SUMIFS(周检修业务统计数据!L:L,周检修业务统计数据!B:B,B70,周检修业务统计数据!C:C,"&lt;&gt;干箱")*1.06</f>
        <v>0</v>
      </c>
      <c r="Q70" s="3"/>
      <c r="R70" s="3"/>
      <c r="S70" s="3">
        <f t="shared" si="14"/>
        <v>0</v>
      </c>
      <c r="T70" s="168">
        <f t="shared" si="15"/>
        <v>73</v>
      </c>
      <c r="U70" s="77">
        <f t="shared" si="16"/>
        <v>10575</v>
      </c>
      <c r="V70" s="43">
        <f t="shared" si="17"/>
        <v>3120</v>
      </c>
      <c r="W70" s="3">
        <v>2</v>
      </c>
      <c r="X70" s="146">
        <v>100</v>
      </c>
      <c r="Y70" s="200">
        <f t="shared" si="18"/>
        <v>-27</v>
      </c>
      <c r="Z70" s="145">
        <f ca="1" t="shared" si="19"/>
        <v>1900</v>
      </c>
      <c r="AA70" s="145">
        <f>自营2026周完成情况!BB80</f>
        <v>1451</v>
      </c>
      <c r="AB70" s="145">
        <f ca="1" t="shared" si="20"/>
        <v>-449</v>
      </c>
      <c r="AC70" s="201"/>
      <c r="AD70" s="104"/>
    </row>
    <row r="71" ht="18" customHeight="1" spans="1:30">
      <c r="A71" s="3" t="s">
        <v>30</v>
      </c>
      <c r="B71" s="6" t="s">
        <v>40</v>
      </c>
      <c r="C71" s="6">
        <f>SUMIFS(周检修业务统计数据!E:E,周检修业务统计数据!B:B,B71,周检修业务统计数据!C:C,"干箱",周检修业务统计数据!D:D,"COS")</f>
        <v>94</v>
      </c>
      <c r="D71" s="6">
        <f>C71-'2025年18周'!C71</f>
        <v>-120</v>
      </c>
      <c r="E71" s="75">
        <f>(SUMIFS(周检修业务统计数据!I:I,周检修业务统计数据!B:B,B71,周检修业务统计数据!C:C,"干箱",周检修业务统计数据!D:D,"COS")+SUMIFS(周检修业务统计数据!J:J,周检修业务统计数据!B:B,B71,周检修业务统计数据!C:C,"干箱",周检修业务统计数据!D:D,"COS"))*1.13</f>
        <v>33749.57</v>
      </c>
      <c r="F71" s="76">
        <f>(E71-'2025年18周'!E71)/'2025年18周'!E71</f>
        <v>-0.4785</v>
      </c>
      <c r="G71" s="77">
        <f t="shared" si="12"/>
        <v>359</v>
      </c>
      <c r="H71" s="76">
        <f>(G71-'2025年18周'!G71)/'2025年18周'!G71</f>
        <v>0.1887</v>
      </c>
      <c r="I71" s="6">
        <f>SUMIFS(周检修业务统计数据!L:L,周检修业务统计数据!B:B,B71,周检修业务统计数据!C:C,"干箱",周检修业务统计数据!D:D,"COS")*1.06</f>
        <v>6009.9668</v>
      </c>
      <c r="J71" s="6">
        <f>SUMIFS(周检修业务统计数据!E:E,周检修业务统计数据!B:B,B71,周检修业务统计数据!C:C,"干箱",周检修业务统计数据!D:D,"&lt;&gt;COS")</f>
        <v>17</v>
      </c>
      <c r="K71" s="6">
        <f>J71-'2025年18周'!J71</f>
        <v>-30</v>
      </c>
      <c r="L71" s="75">
        <f>(SUMIFS(周检修业务统计数据!I:I,周检修业务统计数据!B:B,B71,周检修业务统计数据!C:C,"干箱",周检修业务统计数据!D:D,"&lt;&gt;COS")+SUMIFS(周检修业务统计数据!J:J,周检修业务统计数据!B:B,B71,周检修业务统计数据!C:C,"干箱",周检修业务统计数据!D:D,"&lt;&gt;COS"))*1.13++SUMIFS(周检修业务统计数据!L:L,周检修业务统计数据!B:B,B71,周检修业务统计数据!C:C,"干箱",周检修业务统计数据!D:D,"&lt;&gt;COS")*1.06</f>
        <v>6415.04</v>
      </c>
      <c r="M71" s="76">
        <f>(L71-'2025年18周'!L71)/'2025年18周'!L71</f>
        <v>-0.5748</v>
      </c>
      <c r="N71" s="77">
        <f t="shared" si="13"/>
        <v>377</v>
      </c>
      <c r="O71" s="76">
        <f>(N71-'2025年18周'!N71)/'2025年18周'!N71</f>
        <v>0.1745</v>
      </c>
      <c r="P71" s="78">
        <f>(SUMIFS(周检修业务统计数据!I:I,周检修业务统计数据!B:B,B71,周检修业务统计数据!C:C,"&lt;&gt;干箱")+SUMIFS(周检修业务统计数据!J:J,周检修业务统计数据!B:B,B71,周检修业务统计数据!C:C,"&lt;&gt;干箱"))*1.13++SUMIFS(周检修业务统计数据!L:L,周检修业务统计数据!B:B,B71,周检修业务统计数据!C:C,"&lt;&gt;干箱")*1.06</f>
        <v>0</v>
      </c>
      <c r="Q71" s="3"/>
      <c r="R71" s="3"/>
      <c r="S71" s="3">
        <f t="shared" si="14"/>
        <v>0</v>
      </c>
      <c r="T71" s="168">
        <f t="shared" si="15"/>
        <v>111</v>
      </c>
      <c r="U71" s="77">
        <f t="shared" si="16"/>
        <v>46175</v>
      </c>
      <c r="V71" s="43">
        <f t="shared" si="17"/>
        <v>8033</v>
      </c>
      <c r="W71" s="3">
        <v>5</v>
      </c>
      <c r="X71" s="146">
        <v>200</v>
      </c>
      <c r="Y71" s="200">
        <f t="shared" si="18"/>
        <v>-89</v>
      </c>
      <c r="Z71" s="145">
        <f ca="1" t="shared" si="19"/>
        <v>3800</v>
      </c>
      <c r="AA71" s="145">
        <f>自营2026周完成情况!BB81</f>
        <v>3364</v>
      </c>
      <c r="AB71" s="145">
        <f ca="1" t="shared" si="20"/>
        <v>-436</v>
      </c>
      <c r="AC71" s="201"/>
      <c r="AD71" s="104"/>
    </row>
    <row r="72" ht="18" customHeight="1" spans="1:30">
      <c r="A72" s="3" t="s">
        <v>30</v>
      </c>
      <c r="B72" s="6" t="s">
        <v>41</v>
      </c>
      <c r="C72" s="6">
        <f>SUMIFS(周检修业务统计数据!E:E,周检修业务统计数据!B:B,B72,周检修业务统计数据!C:C,"干箱",周检修业务统计数据!D:D,"COS")</f>
        <v>0</v>
      </c>
      <c r="D72" s="6">
        <f>C72-'2025年18周'!C72</f>
        <v>-5</v>
      </c>
      <c r="E72" s="75">
        <f>(SUMIFS(周检修业务统计数据!I:I,周检修业务统计数据!B:B,B72,周检修业务统计数据!C:C,"干箱",周检修业务统计数据!D:D,"COS")+SUMIFS(周检修业务统计数据!J:J,周检修业务统计数据!B:B,B72,周检修业务统计数据!C:C,"干箱",周检修业务统计数据!D:D,"COS"))*1.13</f>
        <v>0</v>
      </c>
      <c r="F72" s="76">
        <f>(E72-'2025年18周'!E72)/'2025年18周'!E72</f>
        <v>-1</v>
      </c>
      <c r="G72" s="77" t="e">
        <f t="shared" si="12"/>
        <v>#DIV/0!</v>
      </c>
      <c r="H72" s="76" t="e">
        <f>(G72-'2025年18周'!G72)/'2025年18周'!G72</f>
        <v>#DIV/0!</v>
      </c>
      <c r="I72" s="6">
        <f>SUMIFS(周检修业务统计数据!L:L,周检修业务统计数据!B:B,B72,周检修业务统计数据!C:C,"干箱",周检修业务统计数据!D:D,"COS")*1.06</f>
        <v>0</v>
      </c>
      <c r="J72" s="6">
        <f>SUMIFS(周检修业务统计数据!E:E,周检修业务统计数据!B:B,B72,周检修业务统计数据!C:C,"干箱",周检修业务统计数据!D:D,"&lt;&gt;COS")</f>
        <v>0</v>
      </c>
      <c r="K72" s="6">
        <f>J72-'2025年18周'!J72</f>
        <v>0</v>
      </c>
      <c r="L72" s="75">
        <f>(SUMIFS(周检修业务统计数据!I:I,周检修业务统计数据!B:B,B72,周检修业务统计数据!C:C,"干箱",周检修业务统计数据!D:D,"&lt;&gt;COS")+SUMIFS(周检修业务统计数据!J:J,周检修业务统计数据!B:B,B72,周检修业务统计数据!C:C,"干箱",周检修业务统计数据!D:D,"&lt;&gt;COS"))*1.13++SUMIFS(周检修业务统计数据!L:L,周检修业务统计数据!B:B,B72,周检修业务统计数据!C:C,"干箱",周检修业务统计数据!D:D,"&lt;&gt;COS")*1.06</f>
        <v>0</v>
      </c>
      <c r="M72" s="76" t="e">
        <f>(L72-'2025年18周'!L72)/'2025年18周'!L72</f>
        <v>#DIV/0!</v>
      </c>
      <c r="N72" s="77" t="e">
        <f t="shared" si="13"/>
        <v>#DIV/0!</v>
      </c>
      <c r="O72" s="76" t="e">
        <f>(N72-'2025年18周'!N72)/'2025年18周'!N72</f>
        <v>#DIV/0!</v>
      </c>
      <c r="P72" s="78">
        <f>(SUMIFS(周检修业务统计数据!I:I,周检修业务统计数据!B:B,B72,周检修业务统计数据!C:C,"&lt;&gt;干箱")+SUMIFS(周检修业务统计数据!J:J,周检修业务统计数据!B:B,B72,周检修业务统计数据!C:C,"&lt;&gt;干箱"))*1.13++SUMIFS(周检修业务统计数据!L:L,周检修业务统计数据!B:B,B72,周检修业务统计数据!C:C,"&lt;&gt;干箱")*1.06</f>
        <v>0</v>
      </c>
      <c r="Q72" s="3"/>
      <c r="R72" s="3"/>
      <c r="S72" s="3">
        <f t="shared" si="14"/>
        <v>0</v>
      </c>
      <c r="T72" s="168">
        <f t="shared" si="15"/>
        <v>0</v>
      </c>
      <c r="U72" s="77">
        <f t="shared" si="16"/>
        <v>0</v>
      </c>
      <c r="V72" s="43" t="e">
        <f t="shared" si="17"/>
        <v>#DIV/0!</v>
      </c>
      <c r="W72" s="3">
        <v>0</v>
      </c>
      <c r="X72" s="146">
        <v>0</v>
      </c>
      <c r="Y72" s="200">
        <f t="shared" si="18"/>
        <v>0</v>
      </c>
      <c r="Z72" s="145">
        <f ca="1" t="shared" si="19"/>
        <v>0</v>
      </c>
      <c r="AA72" s="145">
        <f>自营2026周完成情况!BB82</f>
        <v>84</v>
      </c>
      <c r="AB72" s="145">
        <f ca="1" t="shared" si="20"/>
        <v>84</v>
      </c>
      <c r="AC72" s="201" t="s">
        <v>222</v>
      </c>
      <c r="AD72" s="104"/>
    </row>
    <row r="73" ht="18" customHeight="1" spans="1:30">
      <c r="A73" s="3" t="s">
        <v>30</v>
      </c>
      <c r="B73" s="6" t="s">
        <v>42</v>
      </c>
      <c r="C73" s="6">
        <f>SUMIFS(周检修业务统计数据!E:E,周检修业务统计数据!B:B,B73,周检修业务统计数据!C:C,"干箱",周检修业务统计数据!D:D,"COS")</f>
        <v>286</v>
      </c>
      <c r="D73" s="6">
        <f>C73-'2025年18周'!C73</f>
        <v>-49</v>
      </c>
      <c r="E73" s="75">
        <f>(SUMIFS(周检修业务统计数据!I:I,周检修业务统计数据!B:B,B73,周检修业务统计数据!C:C,"干箱",周检修业务统计数据!D:D,"COS")+SUMIFS(周检修业务统计数据!J:J,周检修业务统计数据!B:B,B73,周检修业务统计数据!C:C,"干箱",周检修业务统计数据!D:D,"COS"))*1.13</f>
        <v>45761.59</v>
      </c>
      <c r="F73" s="76">
        <f>(E73-'2025年18周'!E73)/'2025年18周'!E73</f>
        <v>-0.1031</v>
      </c>
      <c r="G73" s="77">
        <f t="shared" si="12"/>
        <v>160</v>
      </c>
      <c r="H73" s="76">
        <f>(G73-'2025年18周'!G73)/'2025年18周'!G73</f>
        <v>0.0526</v>
      </c>
      <c r="I73" s="6">
        <f>SUMIFS(周检修业务统计数据!L:L,周检修业务统计数据!B:B,B73,周检修业务统计数据!C:C,"干箱",周检修业务统计数据!D:D,"COS")*1.06</f>
        <v>18829.6704</v>
      </c>
      <c r="J73" s="6">
        <f>SUMIFS(周检修业务统计数据!E:E,周检修业务统计数据!B:B,B73,周检修业务统计数据!C:C,"干箱",周检修业务统计数据!D:D,"&lt;&gt;COS")</f>
        <v>0</v>
      </c>
      <c r="K73" s="6">
        <f>J73-'2025年18周'!J73</f>
        <v>0</v>
      </c>
      <c r="L73" s="75">
        <f>(SUMIFS(周检修业务统计数据!I:I,周检修业务统计数据!B:B,B73,周检修业务统计数据!C:C,"干箱",周检修业务统计数据!D:D,"&lt;&gt;COS")+SUMIFS(周检修业务统计数据!J:J,周检修业务统计数据!B:B,B73,周检修业务统计数据!C:C,"干箱",周检修业务统计数据!D:D,"&lt;&gt;COS"))*1.13++SUMIFS(周检修业务统计数据!L:L,周检修业务统计数据!B:B,B73,周检修业务统计数据!C:C,"干箱",周检修业务统计数据!D:D,"&lt;&gt;COS")*1.06</f>
        <v>0</v>
      </c>
      <c r="M73" s="76" t="e">
        <f>(L73-'2025年18周'!L73)/'2025年18周'!L73</f>
        <v>#DIV/0!</v>
      </c>
      <c r="N73" s="77" t="e">
        <f t="shared" si="13"/>
        <v>#DIV/0!</v>
      </c>
      <c r="O73" s="76" t="e">
        <f>(N73-'2025年18周'!N73)/'2025年18周'!N73</f>
        <v>#DIV/0!</v>
      </c>
      <c r="P73" s="78">
        <f>(SUMIFS(周检修业务统计数据!I:I,周检修业务统计数据!B:B,B73,周检修业务统计数据!C:C,"&lt;&gt;干箱")+SUMIFS(周检修业务统计数据!J:J,周检修业务统计数据!B:B,B73,周检修业务统计数据!C:C,"&lt;&gt;干箱"))*1.13++SUMIFS(周检修业务统计数据!L:L,周检修业务统计数据!B:B,B73,周检修业务统计数据!C:C,"&lt;&gt;干箱")*1.06</f>
        <v>0</v>
      </c>
      <c r="Q73" s="3"/>
      <c r="R73" s="3"/>
      <c r="S73" s="3">
        <f t="shared" si="14"/>
        <v>0</v>
      </c>
      <c r="T73" s="168">
        <f t="shared" si="15"/>
        <v>286</v>
      </c>
      <c r="U73" s="77">
        <f t="shared" si="16"/>
        <v>64591</v>
      </c>
      <c r="V73" s="43">
        <f t="shared" si="17"/>
        <v>11440</v>
      </c>
      <c r="W73" s="3">
        <v>4</v>
      </c>
      <c r="X73" s="146">
        <v>380</v>
      </c>
      <c r="Y73" s="200">
        <f t="shared" si="18"/>
        <v>-94</v>
      </c>
      <c r="Z73" s="145">
        <f ca="1" t="shared" si="19"/>
        <v>7220</v>
      </c>
      <c r="AA73" s="145">
        <f>自营2026周完成情况!BB83</f>
        <v>3732</v>
      </c>
      <c r="AB73" s="145">
        <f ca="1" t="shared" si="20"/>
        <v>-3488</v>
      </c>
      <c r="AC73" s="201"/>
      <c r="AD73" s="104"/>
    </row>
    <row r="74" ht="18" customHeight="1" spans="1:30">
      <c r="A74" s="3" t="s">
        <v>30</v>
      </c>
      <c r="B74" s="6" t="s">
        <v>43</v>
      </c>
      <c r="C74" s="6">
        <f>SUMIFS(周检修业务统计数据!E:E,周检修业务统计数据!B:B,B74,周检修业务统计数据!C:C,"干箱",周检修业务统计数据!D:D,"COS")</f>
        <v>279</v>
      </c>
      <c r="D74" s="6">
        <f>C74-'2025年18周'!C74</f>
        <v>-153</v>
      </c>
      <c r="E74" s="75">
        <f>(SUMIFS(周检修业务统计数据!I:I,周检修业务统计数据!B:B,B74,周检修业务统计数据!C:C,"干箱",周检修业务统计数据!D:D,"COS")+SUMIFS(周检修业务统计数据!J:J,周检修业务统计数据!B:B,B74,周检修业务统计数据!C:C,"干箱",周检修业务统计数据!D:D,"COS"))*1.13</f>
        <v>72786.61</v>
      </c>
      <c r="F74" s="76">
        <f>(E74-'2025年18周'!E74)/'2025年18周'!E74</f>
        <v>-0.2144</v>
      </c>
      <c r="G74" s="77">
        <f t="shared" si="12"/>
        <v>261</v>
      </c>
      <c r="H74" s="76">
        <f>(G74-'2025年18周'!G74)/'2025年18周'!G74</f>
        <v>0.2196</v>
      </c>
      <c r="I74" s="6">
        <f>SUMIFS(周检修业务统计数据!L:L,周检修业务统计数据!B:B,B74,周检修业务统计数据!C:C,"干箱",周检修业务统计数据!D:D,"COS")*1.06</f>
        <v>15345.9486</v>
      </c>
      <c r="J74" s="6">
        <f>SUMIFS(周检修业务统计数据!E:E,周检修业务统计数据!B:B,B74,周检修业务统计数据!C:C,"干箱",周检修业务统计数据!D:D,"&lt;&gt;COS")</f>
        <v>0</v>
      </c>
      <c r="K74" s="6">
        <f>J74-'2025年18周'!J74</f>
        <v>0</v>
      </c>
      <c r="L74" s="75">
        <f>(SUMIFS(周检修业务统计数据!I:I,周检修业务统计数据!B:B,B74,周检修业务统计数据!C:C,"干箱",周检修业务统计数据!D:D,"&lt;&gt;COS")+SUMIFS(周检修业务统计数据!J:J,周检修业务统计数据!B:B,B74,周检修业务统计数据!C:C,"干箱",周检修业务统计数据!D:D,"&lt;&gt;COS"))*1.13++SUMIFS(周检修业务统计数据!L:L,周检修业务统计数据!B:B,B74,周检修业务统计数据!C:C,"干箱",周检修业务统计数据!D:D,"&lt;&gt;COS")*1.06</f>
        <v>0</v>
      </c>
      <c r="M74" s="76" t="e">
        <f>(L74-'2025年18周'!L74)/'2025年18周'!L74</f>
        <v>#DIV/0!</v>
      </c>
      <c r="N74" s="77" t="e">
        <f t="shared" si="13"/>
        <v>#DIV/0!</v>
      </c>
      <c r="O74" s="76" t="e">
        <f>(N74-'2025年18周'!N74)/'2025年18周'!N74</f>
        <v>#DIV/0!</v>
      </c>
      <c r="P74" s="78">
        <f>(SUMIFS(周检修业务统计数据!I:I,周检修业务统计数据!B:B,B74,周检修业务统计数据!C:C,"&lt;&gt;干箱")+SUMIFS(周检修业务统计数据!J:J,周检修业务统计数据!B:B,B74,周检修业务统计数据!C:C,"&lt;&gt;干箱"))*1.13++SUMIFS(周检修业务统计数据!L:L,周检修业务统计数据!B:B,B74,周检修业务统计数据!C:C,"&lt;&gt;干箱")*1.06</f>
        <v>0</v>
      </c>
      <c r="Q74" s="3"/>
      <c r="R74" s="3"/>
      <c r="S74" s="3">
        <f t="shared" si="14"/>
        <v>0</v>
      </c>
      <c r="T74" s="168">
        <f t="shared" si="15"/>
        <v>279</v>
      </c>
      <c r="U74" s="77">
        <f t="shared" si="16"/>
        <v>88133</v>
      </c>
      <c r="V74" s="43">
        <f t="shared" si="17"/>
        <v>14557</v>
      </c>
      <c r="W74" s="3">
        <v>5</v>
      </c>
      <c r="X74" s="146">
        <v>300</v>
      </c>
      <c r="Y74" s="200">
        <f t="shared" si="18"/>
        <v>-21</v>
      </c>
      <c r="Z74" s="145">
        <f ca="1" t="shared" si="19"/>
        <v>5700</v>
      </c>
      <c r="AA74" s="145">
        <f>自营2026周完成情况!BB84</f>
        <v>6327</v>
      </c>
      <c r="AB74" s="145">
        <f ca="1" t="shared" si="20"/>
        <v>627</v>
      </c>
      <c r="AC74" s="201"/>
      <c r="AD74" s="104"/>
    </row>
    <row r="75" ht="18" customHeight="1" spans="1:30">
      <c r="A75" s="3" t="s">
        <v>30</v>
      </c>
      <c r="B75" s="6" t="s">
        <v>44</v>
      </c>
      <c r="C75" s="6">
        <f>SUMIFS(周检修业务统计数据!E:E,周检修业务统计数据!B:B,B75,周检修业务统计数据!C:C,"干箱",周检修业务统计数据!D:D,"COS")</f>
        <v>0</v>
      </c>
      <c r="D75" s="6">
        <f>C75-'2025年18周'!C75</f>
        <v>0</v>
      </c>
      <c r="E75" s="75">
        <f>(SUMIFS(周检修业务统计数据!I:I,周检修业务统计数据!B:B,B75,周检修业务统计数据!C:C,"干箱",周检修业务统计数据!D:D,"COS")+SUMIFS(周检修业务统计数据!J:J,周检修业务统计数据!B:B,B75,周检修业务统计数据!C:C,"干箱",周检修业务统计数据!D:D,"COS"))*1.13</f>
        <v>0</v>
      </c>
      <c r="F75" s="76" t="e">
        <f>(E75-'2025年18周'!E75)/'2025年18周'!E75</f>
        <v>#DIV/0!</v>
      </c>
      <c r="G75" s="77" t="e">
        <f t="shared" si="12"/>
        <v>#DIV/0!</v>
      </c>
      <c r="H75" s="76" t="e">
        <f>(G75-'2025年18周'!G75)/'2025年18周'!G75</f>
        <v>#DIV/0!</v>
      </c>
      <c r="I75" s="6">
        <f>SUMIFS(周检修业务统计数据!L:L,周检修业务统计数据!B:B,B75,周检修业务统计数据!C:C,"干箱",周检修业务统计数据!D:D,"COS")*1.06</f>
        <v>0</v>
      </c>
      <c r="J75" s="6">
        <f>SUMIFS(周检修业务统计数据!E:E,周检修业务统计数据!B:B,B75,周检修业务统计数据!C:C,"干箱",周检修业务统计数据!D:D,"&lt;&gt;COS")</f>
        <v>0</v>
      </c>
      <c r="K75" s="6">
        <f>J75-'2025年18周'!J75</f>
        <v>0</v>
      </c>
      <c r="L75" s="75">
        <f>(SUMIFS(周检修业务统计数据!I:I,周检修业务统计数据!B:B,B75,周检修业务统计数据!C:C,"干箱",周检修业务统计数据!D:D,"&lt;&gt;COS")+SUMIFS(周检修业务统计数据!J:J,周检修业务统计数据!B:B,B75,周检修业务统计数据!C:C,"干箱",周检修业务统计数据!D:D,"&lt;&gt;COS"))*1.13++SUMIFS(周检修业务统计数据!L:L,周检修业务统计数据!B:B,B75,周检修业务统计数据!C:C,"干箱",周检修业务统计数据!D:D,"&lt;&gt;COS")*1.06</f>
        <v>0</v>
      </c>
      <c r="M75" s="76" t="e">
        <f>(L75-'2025年18周'!L75)/'2025年18周'!L75</f>
        <v>#DIV/0!</v>
      </c>
      <c r="N75" s="77" t="e">
        <f t="shared" si="13"/>
        <v>#DIV/0!</v>
      </c>
      <c r="O75" s="76" t="e">
        <f>(N75-'2025年18周'!N75)/'2025年18周'!N75</f>
        <v>#DIV/0!</v>
      </c>
      <c r="P75" s="78">
        <f>(SUMIFS(周检修业务统计数据!I:I,周检修业务统计数据!B:B,B75,周检修业务统计数据!C:C,"&lt;&gt;干箱")+SUMIFS(周检修业务统计数据!J:J,周检修业务统计数据!B:B,B75,周检修业务统计数据!C:C,"&lt;&gt;干箱"))*1.13++SUMIFS(周检修业务统计数据!L:L,周检修业务统计数据!B:B,B75,周检修业务统计数据!C:C,"&lt;&gt;干箱")*1.06</f>
        <v>0</v>
      </c>
      <c r="Q75" s="3"/>
      <c r="R75" s="3"/>
      <c r="S75" s="3">
        <f t="shared" si="14"/>
        <v>0</v>
      </c>
      <c r="T75" s="168">
        <f t="shared" si="15"/>
        <v>0</v>
      </c>
      <c r="U75" s="77">
        <f t="shared" si="16"/>
        <v>0</v>
      </c>
      <c r="V75" s="43" t="e">
        <f t="shared" si="17"/>
        <v>#DIV/0!</v>
      </c>
      <c r="W75" s="3">
        <v>0</v>
      </c>
      <c r="X75" s="146">
        <v>20</v>
      </c>
      <c r="Y75" s="200">
        <f t="shared" si="18"/>
        <v>-20</v>
      </c>
      <c r="Z75" s="145">
        <f ca="1" t="shared" si="19"/>
        <v>380</v>
      </c>
      <c r="AA75" s="145">
        <f>自营2026周完成情况!BB85</f>
        <v>15</v>
      </c>
      <c r="AB75" s="145">
        <f ca="1" t="shared" si="20"/>
        <v>-365</v>
      </c>
      <c r="AC75" s="201"/>
      <c r="AD75" s="104"/>
    </row>
    <row r="76" ht="18" customHeight="1" spans="1:30">
      <c r="A76" s="3" t="s">
        <v>30</v>
      </c>
      <c r="B76" s="6" t="s">
        <v>45</v>
      </c>
      <c r="C76" s="6">
        <f>SUMIFS(周检修业务统计数据!E:E,周检修业务统计数据!B:B,B76,周检修业务统计数据!C:C,"干箱",周检修业务统计数据!D:D,"COS")</f>
        <v>45</v>
      </c>
      <c r="D76" s="6">
        <f>C76-'2025年18周'!C76</f>
        <v>-37</v>
      </c>
      <c r="E76" s="75">
        <f>(SUMIFS(周检修业务统计数据!I:I,周检修业务统计数据!B:B,B76,周检修业务统计数据!C:C,"干箱",周检修业务统计数据!D:D,"COS")+SUMIFS(周检修业务统计数据!J:J,周检修业务统计数据!B:B,B76,周检修业务统计数据!C:C,"干箱",周检修业务统计数据!D:D,"COS"))*1.13</f>
        <v>1602.28</v>
      </c>
      <c r="F76" s="76">
        <f>(E76-'2025年18周'!E76)/'2025年18周'!E76</f>
        <v>-0.4512</v>
      </c>
      <c r="G76" s="77">
        <f t="shared" si="12"/>
        <v>36</v>
      </c>
      <c r="H76" s="76">
        <f>(G76-'2025年18周'!G76)/'2025年18周'!G76</f>
        <v>0</v>
      </c>
      <c r="I76" s="6">
        <f>SUMIFS(周检修业务统计数据!L:L,周检修业务统计数据!B:B,B76,周检修业务统计数据!C:C,"干箱",周检修业务统计数据!D:D,"COS")*1.06</f>
        <v>2475.153</v>
      </c>
      <c r="J76" s="6">
        <f>SUMIFS(周检修业务统计数据!E:E,周检修业务统计数据!B:B,B76,周检修业务统计数据!C:C,"干箱",周检修业务统计数据!D:D,"&lt;&gt;COS")</f>
        <v>1</v>
      </c>
      <c r="K76" s="6">
        <f>J76-'2025年18周'!J76</f>
        <v>-11</v>
      </c>
      <c r="L76" s="75">
        <f>(SUMIFS(周检修业务统计数据!I:I,周检修业务统计数据!B:B,B76,周检修业务统计数据!C:C,"干箱",周检修业务统计数据!D:D,"&lt;&gt;COS")+SUMIFS(周检修业务统计数据!J:J,周检修业务统计数据!B:B,B76,周检修业务统计数据!C:C,"干箱",周检修业务统计数据!D:D,"&lt;&gt;COS"))*1.13++SUMIFS(周检修业务统计数据!L:L,周检修业务统计数据!B:B,B76,周检修业务统计数据!C:C,"干箱",周检修业务统计数据!D:D,"&lt;&gt;COS")*1.06</f>
        <v>209.9</v>
      </c>
      <c r="M76" s="76">
        <f>(L76-'2025年18周'!L76)/'2025年18周'!L76</f>
        <v>-0.909</v>
      </c>
      <c r="N76" s="77">
        <f t="shared" si="13"/>
        <v>210</v>
      </c>
      <c r="O76" s="76">
        <f>(N76-'2025年18周'!N76)/'2025年18周'!N76</f>
        <v>0.0938</v>
      </c>
      <c r="P76" s="78">
        <f>(SUMIFS(周检修业务统计数据!I:I,周检修业务统计数据!B:B,B76,周检修业务统计数据!C:C,"&lt;&gt;干箱")+SUMIFS(周检修业务统计数据!J:J,周检修业务统计数据!B:B,B76,周检修业务统计数据!C:C,"&lt;&gt;干箱"))*1.13++SUMIFS(周检修业务统计数据!L:L,周检修业务统计数据!B:B,B76,周检修业务统计数据!C:C,"&lt;&gt;干箱")*1.06</f>
        <v>0</v>
      </c>
      <c r="Q76" s="3"/>
      <c r="R76" s="3"/>
      <c r="S76" s="3">
        <f t="shared" si="14"/>
        <v>0</v>
      </c>
      <c r="T76" s="168">
        <f t="shared" si="15"/>
        <v>46</v>
      </c>
      <c r="U76" s="77">
        <f t="shared" si="16"/>
        <v>4287</v>
      </c>
      <c r="V76" s="43">
        <f t="shared" si="17"/>
        <v>604</v>
      </c>
      <c r="W76" s="3">
        <v>3</v>
      </c>
      <c r="X76" s="146">
        <v>200</v>
      </c>
      <c r="Y76" s="200">
        <f t="shared" si="18"/>
        <v>-154</v>
      </c>
      <c r="Z76" s="145">
        <f ca="1" t="shared" si="19"/>
        <v>3800</v>
      </c>
      <c r="AA76" s="145">
        <f>自营2026周完成情况!BB86</f>
        <v>1554</v>
      </c>
      <c r="AB76" s="145">
        <f ca="1" t="shared" si="20"/>
        <v>-2246</v>
      </c>
      <c r="AC76" s="201" t="s">
        <v>223</v>
      </c>
      <c r="AD76" s="104"/>
    </row>
    <row r="77" s="163" customFormat="1" ht="18" customHeight="1" spans="1:30">
      <c r="A77" s="7" t="s">
        <v>46</v>
      </c>
      <c r="B77" s="8" t="s">
        <v>47</v>
      </c>
      <c r="C77" s="8">
        <f>SUMIFS(周检修业务统计数据!E:E,周检修业务统计数据!B:B,B77,周检修业务统计数据!C:C,"干箱",周检修业务统计数据!D:D,"COS")</f>
        <v>291</v>
      </c>
      <c r="D77" s="8">
        <f>C77-'2025年18周'!C77</f>
        <v>-336</v>
      </c>
      <c r="E77" s="80">
        <f>(SUMIFS(周检修业务统计数据!I:I,周检修业务统计数据!B:B,B77,周检修业务统计数据!C:C,"干箱",周检修业务统计数据!D:D,"COS")+SUMIFS(周检修业务统计数据!J:J,周检修业务统计数据!B:B,B77,周检修业务统计数据!C:C,"干箱",周检修业务统计数据!D:D,"COS"))*1.13</f>
        <v>89546.05</v>
      </c>
      <c r="F77" s="81">
        <f>(E77-'2025年18周'!E77)/'2025年18周'!E77</f>
        <v>-0.6275</v>
      </c>
      <c r="G77" s="82">
        <f t="shared" si="12"/>
        <v>308</v>
      </c>
      <c r="H77" s="81">
        <f>(G77-'2025年18周'!G77)/'2025年18周'!G77</f>
        <v>-0.1958</v>
      </c>
      <c r="I77" s="8">
        <f>SUMIFS(周检修业务统计数据!L:L,周检修业务统计数据!B:B,B77,周检修业务统计数据!C:C,"干箱",周检修业务统计数据!D:D,"COS")*1.06</f>
        <v>0</v>
      </c>
      <c r="J77" s="8">
        <f>SUMIFS(周检修业务统计数据!E:E,周检修业务统计数据!B:B,B77,周检修业务统计数据!C:C,"干箱",周检修业务统计数据!D:D,"&lt;&gt;COS")</f>
        <v>0</v>
      </c>
      <c r="K77" s="8">
        <f>J77-'2025年18周'!J77</f>
        <v>0</v>
      </c>
      <c r="L77" s="80">
        <f>(SUMIFS(周检修业务统计数据!I:I,周检修业务统计数据!B:B,B77,周检修业务统计数据!C:C,"干箱",周检修业务统计数据!D:D,"&lt;&gt;COS")+SUMIFS(周检修业务统计数据!J:J,周检修业务统计数据!B:B,B77,周检修业务统计数据!C:C,"干箱",周检修业务统计数据!D:D,"&lt;&gt;COS"))*1.13++SUMIFS(周检修业务统计数据!L:L,周检修业务统计数据!B:B,B77,周检修业务统计数据!C:C,"干箱",周检修业务统计数据!D:D,"&lt;&gt;COS")*1.06</f>
        <v>0</v>
      </c>
      <c r="M77" s="81" t="e">
        <f>(L77-'2025年18周'!L77)/'2025年18周'!L77</f>
        <v>#DIV/0!</v>
      </c>
      <c r="N77" s="82" t="e">
        <f t="shared" si="13"/>
        <v>#DIV/0!</v>
      </c>
      <c r="O77" s="81" t="e">
        <f>(N77-'2025年18周'!N77)/'2025年18周'!N77</f>
        <v>#DIV/0!</v>
      </c>
      <c r="P77" s="83">
        <f>(SUMIFS(周检修业务统计数据!I:I,周检修业务统计数据!B:B,B77,周检修业务统计数据!C:C,"&lt;&gt;干箱")+SUMIFS(周检修业务统计数据!J:J,周检修业务统计数据!B:B,B77,周检修业务统计数据!C:C,"&lt;&gt;干箱"))*1.13++SUMIFS(周检修业务统计数据!L:L,周检修业务统计数据!B:B,B77,周检修业务统计数据!C:C,"&lt;&gt;干箱")*1.06</f>
        <v>0</v>
      </c>
      <c r="Q77" s="61">
        <v>7155.66</v>
      </c>
      <c r="R77" s="53">
        <v>10505</v>
      </c>
      <c r="S77" s="9">
        <f t="shared" si="14"/>
        <v>0</v>
      </c>
      <c r="T77" s="168">
        <f t="shared" si="15"/>
        <v>291</v>
      </c>
      <c r="U77" s="82">
        <f t="shared" si="16"/>
        <v>107207</v>
      </c>
      <c r="V77" s="192">
        <f>(E77+L77+E78+L78)/W77</f>
        <v>10259</v>
      </c>
      <c r="W77" s="193">
        <v>18</v>
      </c>
      <c r="X77" s="194">
        <v>1000</v>
      </c>
      <c r="Y77" s="195">
        <f>SUM(T77:T78)-X77</f>
        <v>17</v>
      </c>
      <c r="Z77" s="216">
        <f ca="1" t="shared" si="19"/>
        <v>19000</v>
      </c>
      <c r="AA77" s="216">
        <f>SUM(自营2026周完成情况!BB87:BB88)</f>
        <v>21512</v>
      </c>
      <c r="AB77" s="216">
        <f ca="1" t="shared" si="20"/>
        <v>2512</v>
      </c>
      <c r="AC77" s="217" t="s">
        <v>224</v>
      </c>
      <c r="AD77" s="171"/>
    </row>
    <row r="78" s="163" customFormat="1" ht="18" customHeight="1" spans="1:30">
      <c r="A78" s="7" t="s">
        <v>46</v>
      </c>
      <c r="B78" s="8" t="s">
        <v>48</v>
      </c>
      <c r="C78" s="8">
        <f>SUMIFS(周检修业务统计数据!E:E,周检修业务统计数据!B:B,B78,周检修业务统计数据!C:C,"干箱",周检修业务统计数据!D:D,"COS")</f>
        <v>630</v>
      </c>
      <c r="D78" s="8">
        <f>C78-'2025年18周'!C78</f>
        <v>60</v>
      </c>
      <c r="E78" s="80">
        <f>(SUMIFS(周检修业务统计数据!I:I,周检修业务统计数据!B:B,B78,周检修业务统计数据!C:C,"干箱",周检修业务统计数据!D:D,"COS")+SUMIFS(周检修业务统计数据!J:J,周检修业务统计数据!B:B,B78,周检修业务统计数据!C:C,"干箱",周检修业务统计数据!D:D,"COS"))*1.13</f>
        <v>77900.38</v>
      </c>
      <c r="F78" s="81">
        <f>(E78-'2025年18周'!E78)/'2025年18周'!E78</f>
        <v>-0.0156</v>
      </c>
      <c r="G78" s="82">
        <f t="shared" si="12"/>
        <v>124</v>
      </c>
      <c r="H78" s="81">
        <f>(G78-'2025年18周'!G78)/'2025年18周'!G78</f>
        <v>-0.1079</v>
      </c>
      <c r="I78" s="8">
        <f>SUMIFS(周检修业务统计数据!L:L,周检修业务统计数据!B:B,B78,周检修业务统计数据!C:C,"干箱",周检修业务统计数据!D:D,"COS")*1.06</f>
        <v>40369.7396</v>
      </c>
      <c r="J78" s="8">
        <f>SUMIFS(周检修业务统计数据!E:E,周检修业务统计数据!B:B,B78,周检修业务统计数据!C:C,"干箱",周检修业务统计数据!D:D,"&lt;&gt;COS")</f>
        <v>96</v>
      </c>
      <c r="K78" s="8">
        <f>J78-'2025年18周'!J78</f>
        <v>53</v>
      </c>
      <c r="L78" s="80">
        <f>(SUMIFS(周检修业务统计数据!I:I,周检修业务统计数据!B:B,B78,周检修业务统计数据!C:C,"干箱",周检修业务统计数据!D:D,"&lt;&gt;COS")+SUMIFS(周检修业务统计数据!J:J,周检修业务统计数据!B:B,B78,周检修业务统计数据!C:C,"干箱",周检修业务统计数据!D:D,"&lt;&gt;COS"))*1.13++SUMIFS(周检修业务统计数据!L:L,周检修业务统计数据!B:B,B78,周检修业务统计数据!C:C,"干箱",周检修业务统计数据!D:D,"&lt;&gt;COS")*1.06</f>
        <v>17219.58</v>
      </c>
      <c r="M78" s="81">
        <f>(L78-'2025年18周'!L78)/'2025年18周'!L78</f>
        <v>0.406</v>
      </c>
      <c r="N78" s="82">
        <f t="shared" si="13"/>
        <v>179</v>
      </c>
      <c r="O78" s="81">
        <f>(N78-'2025年18周'!N78)/'2025年18周'!N78</f>
        <v>-0.3719</v>
      </c>
      <c r="P78" s="83">
        <f>(SUMIFS(周检修业务统计数据!I:I,周检修业务统计数据!B:B,B78,周检修业务统计数据!C:C,"&lt;&gt;干箱")+SUMIFS(周检修业务统计数据!J:J,周检修业务统计数据!B:B,B78,周检修业务统计数据!C:C,"&lt;&gt;干箱"))*1.13++SUMIFS(周检修业务统计数据!L:L,周检修业务统计数据!B:B,B78,周检修业务统计数据!C:C,"&lt;&gt;干箱")*1.06</f>
        <v>749.89</v>
      </c>
      <c r="Q78" s="9"/>
      <c r="R78" s="9"/>
      <c r="S78" s="9">
        <f t="shared" si="14"/>
        <v>0</v>
      </c>
      <c r="T78" s="168">
        <f t="shared" si="15"/>
        <v>726</v>
      </c>
      <c r="U78" s="82">
        <f t="shared" si="16"/>
        <v>136240</v>
      </c>
      <c r="V78" s="197"/>
      <c r="W78" s="198"/>
      <c r="X78" s="64"/>
      <c r="Y78" s="199"/>
      <c r="Z78" s="222"/>
      <c r="AA78" s="222"/>
      <c r="AB78" s="222"/>
      <c r="AC78" s="217"/>
      <c r="AD78" s="171"/>
    </row>
    <row r="79" s="163" customFormat="1" ht="18" customHeight="1" spans="1:30">
      <c r="A79" s="7" t="s">
        <v>46</v>
      </c>
      <c r="B79" s="8" t="s">
        <v>49</v>
      </c>
      <c r="C79" s="8">
        <f>SUMIFS(周检修业务统计数据!E:E,周检修业务统计数据!B:B,B79,周检修业务统计数据!C:C,"干箱",周检修业务统计数据!D:D,"COS")</f>
        <v>117</v>
      </c>
      <c r="D79" s="8">
        <f>C79-'2025年18周'!C79</f>
        <v>-17</v>
      </c>
      <c r="E79" s="80">
        <f>(SUMIFS(周检修业务统计数据!I:I,周检修业务统计数据!B:B,B79,周检修业务统计数据!C:C,"干箱",周检修业务统计数据!D:D,"COS")+SUMIFS(周检修业务统计数据!J:J,周检修业务统计数据!B:B,B79,周检修业务统计数据!C:C,"干箱",周检修业务统计数据!D:D,"COS"))*1.13</f>
        <v>48196.12</v>
      </c>
      <c r="F79" s="81">
        <f>(E79-'2025年18周'!E79)/'2025年18周'!E79</f>
        <v>0.5621</v>
      </c>
      <c r="G79" s="82">
        <f t="shared" si="12"/>
        <v>412</v>
      </c>
      <c r="H79" s="81">
        <f>(G79-'2025年18周'!G79)/'2025年18周'!G79</f>
        <v>0.7913</v>
      </c>
      <c r="I79" s="8">
        <f>SUMIFS(周检修业务统计数据!L:L,周检修业务统计数据!B:B,B79,周检修业务统计数据!C:C,"干箱",周检修业务统计数据!D:D,"COS")*1.06</f>
        <v>6635.3138</v>
      </c>
      <c r="J79" s="8">
        <f>SUMIFS(周检修业务统计数据!E:E,周检修业务统计数据!B:B,B79,周检修业务统计数据!C:C,"干箱",周检修业务统计数据!D:D,"&lt;&gt;COS")</f>
        <v>0</v>
      </c>
      <c r="K79" s="8">
        <f>J79-'2025年18周'!J79</f>
        <v>0</v>
      </c>
      <c r="L79" s="80">
        <f>(SUMIFS(周检修业务统计数据!I:I,周检修业务统计数据!B:B,B79,周检修业务统计数据!C:C,"干箱",周检修业务统计数据!D:D,"&lt;&gt;COS")+SUMIFS(周检修业务统计数据!J:J,周检修业务统计数据!B:B,B79,周检修业务统计数据!C:C,"干箱",周检修业务统计数据!D:D,"&lt;&gt;COS"))*1.13++SUMIFS(周检修业务统计数据!L:L,周检修业务统计数据!B:B,B79,周检修业务统计数据!C:C,"干箱",周检修业务统计数据!D:D,"&lt;&gt;COS")*1.06</f>
        <v>0</v>
      </c>
      <c r="M79" s="81" t="e">
        <f>(L79-'2025年18周'!L79)/'2025年18周'!L79</f>
        <v>#DIV/0!</v>
      </c>
      <c r="N79" s="82" t="e">
        <f t="shared" si="13"/>
        <v>#DIV/0!</v>
      </c>
      <c r="O79" s="81" t="e">
        <f>(N79-'2025年18周'!N79)/'2025年18周'!N79</f>
        <v>#DIV/0!</v>
      </c>
      <c r="P79" s="83">
        <f>(SUMIFS(周检修业务统计数据!I:I,周检修业务统计数据!B:B,B79,周检修业务统计数据!C:C,"&lt;&gt;干箱")+SUMIFS(周检修业务统计数据!J:J,周检修业务统计数据!B:B,B79,周检修业务统计数据!C:C,"&lt;&gt;干箱"))*1.13++SUMIFS(周检修业务统计数据!L:L,周检修业务统计数据!B:B,B79,周检修业务统计数据!C:C,"&lt;&gt;干箱")*1.06</f>
        <v>0</v>
      </c>
      <c r="Q79" s="9"/>
      <c r="R79" s="9"/>
      <c r="S79" s="9">
        <f t="shared" si="14"/>
        <v>0</v>
      </c>
      <c r="T79" s="168">
        <f t="shared" si="15"/>
        <v>117</v>
      </c>
      <c r="U79" s="82">
        <f t="shared" si="16"/>
        <v>54831</v>
      </c>
      <c r="V79" s="50">
        <f>(E79+L79)/W79</f>
        <v>16065</v>
      </c>
      <c r="W79" s="9">
        <v>3</v>
      </c>
      <c r="X79" s="149">
        <v>100</v>
      </c>
      <c r="Y79" s="200">
        <f t="shared" si="18"/>
        <v>17</v>
      </c>
      <c r="Z79" s="148">
        <f ca="1" t="shared" si="19"/>
        <v>1900</v>
      </c>
      <c r="AA79" s="148">
        <f>自营2026周完成情况!BB89</f>
        <v>2874</v>
      </c>
      <c r="AB79" s="148">
        <f ca="1">AA79-Z79</f>
        <v>974</v>
      </c>
      <c r="AC79" s="217"/>
      <c r="AD79" s="171"/>
    </row>
    <row r="80" ht="18" customHeight="1" spans="1:30">
      <c r="A80" s="10" t="s">
        <v>50</v>
      </c>
      <c r="B80" s="6" t="s">
        <v>51</v>
      </c>
      <c r="C80" s="6">
        <f>SUMIFS(周检修业务统计数据!E:E,周检修业务统计数据!B:B,B80,周检修业务统计数据!C:C,"干箱",周检修业务统计数据!D:D,"COS")</f>
        <v>477</v>
      </c>
      <c r="D80" s="6">
        <f>C80-'2025年18周'!C80</f>
        <v>-266</v>
      </c>
      <c r="E80" s="75">
        <f>(SUMIFS(周检修业务统计数据!I:I,周检修业务统计数据!B:B,B80,周检修业务统计数据!C:C,"干箱",周检修业务统计数据!D:D,"COS")+SUMIFS(周检修业务统计数据!J:J,周检修业务统计数据!B:B,B80,周检修业务统计数据!C:C,"干箱",周检修业务统计数据!D:D,"COS"))*1.13</f>
        <v>148364.15</v>
      </c>
      <c r="F80" s="76">
        <f>(E80-'2025年18周'!E80)/'2025年18周'!E80</f>
        <v>-0.3663</v>
      </c>
      <c r="G80" s="77">
        <f t="shared" si="12"/>
        <v>311</v>
      </c>
      <c r="H80" s="76">
        <f>(G80-'2025年18周'!G80)/'2025年18周'!G80</f>
        <v>-0.0127</v>
      </c>
      <c r="I80" s="6">
        <f>SUMIFS(周检修业务统计数据!L:L,周检修业务统计数据!B:B,B80,周检修业务统计数据!C:C,"干箱",周检修业务统计数据!D:D,"COS")*1.06</f>
        <v>0</v>
      </c>
      <c r="J80" s="6">
        <f>SUMIFS(周检修业务统计数据!E:E,周检修业务统计数据!B:B,B80,周检修业务统计数据!C:C,"干箱",周检修业务统计数据!D:D,"&lt;&gt;COS")</f>
        <v>0</v>
      </c>
      <c r="K80" s="6">
        <f>J80-'2025年18周'!J80</f>
        <v>0</v>
      </c>
      <c r="L80" s="75">
        <f>(SUMIFS(周检修业务统计数据!I:I,周检修业务统计数据!B:B,B80,周检修业务统计数据!C:C,"干箱",周检修业务统计数据!D:D,"&lt;&gt;COS")+SUMIFS(周检修业务统计数据!J:J,周检修业务统计数据!B:B,B80,周检修业务统计数据!C:C,"干箱",周检修业务统计数据!D:D,"&lt;&gt;COS"))*1.13++SUMIFS(周检修业务统计数据!L:L,周检修业务统计数据!B:B,B80,周检修业务统计数据!C:C,"干箱",周检修业务统计数据!D:D,"&lt;&gt;COS")*1.06</f>
        <v>0</v>
      </c>
      <c r="M80" s="76" t="e">
        <f>(L80-'2025年18周'!L80)/'2025年18周'!L80</f>
        <v>#DIV/0!</v>
      </c>
      <c r="N80" s="77" t="e">
        <f t="shared" si="13"/>
        <v>#DIV/0!</v>
      </c>
      <c r="O80" s="76" t="e">
        <f>(N80-'2025年18周'!N80)/'2025年18周'!N80</f>
        <v>#DIV/0!</v>
      </c>
      <c r="P80" s="78">
        <f>(SUMIFS(周检修业务统计数据!I:I,周检修业务统计数据!B:B,B80,周检修业务统计数据!C:C,"&lt;&gt;干箱")+SUMIFS(周检修业务统计数据!J:J,周检修业务统计数据!B:B,B80,周检修业务统计数据!C:C,"&lt;&gt;干箱"))*1.13++SUMIFS(周检修业务统计数据!L:L,周检修业务统计数据!B:B,B80,周检修业务统计数据!C:C,"&lt;&gt;干箱")*1.06</f>
        <v>0</v>
      </c>
      <c r="Q80" s="130">
        <v>20091</v>
      </c>
      <c r="R80" s="3"/>
      <c r="S80" s="3">
        <f t="shared" si="14"/>
        <v>0</v>
      </c>
      <c r="T80" s="168">
        <f t="shared" si="15"/>
        <v>477</v>
      </c>
      <c r="U80" s="77">
        <f t="shared" si="16"/>
        <v>168455</v>
      </c>
      <c r="V80" s="43">
        <f>(E80+L80)/W80</f>
        <v>8242</v>
      </c>
      <c r="W80" s="3">
        <v>18</v>
      </c>
      <c r="X80" s="223">
        <v>800</v>
      </c>
      <c r="Y80" s="200">
        <f>SUM(T80:T81)-X80</f>
        <v>-183</v>
      </c>
      <c r="Z80" s="224">
        <f ca="1" t="shared" si="19"/>
        <v>15200</v>
      </c>
      <c r="AA80" s="224">
        <f>SUM(自营2026周完成情况!BB90:BB91)</f>
        <v>21448</v>
      </c>
      <c r="AB80" s="224">
        <f ca="1">AA80-Z80</f>
        <v>6248</v>
      </c>
      <c r="AC80" s="201"/>
      <c r="AD80" s="104"/>
    </row>
    <row r="81" ht="18" customHeight="1" spans="1:30">
      <c r="A81" s="10" t="s">
        <v>50</v>
      </c>
      <c r="B81" s="6" t="s">
        <v>52</v>
      </c>
      <c r="C81" s="6">
        <f>SUMIFS(周检修业务统计数据!E:E,周检修业务统计数据!B:B,B81,周检修业务统计数据!C:C,"干箱",周检修业务统计数据!D:D,"COS")</f>
        <v>140</v>
      </c>
      <c r="D81" s="6">
        <f>C81-'2025年18周'!C81</f>
        <v>-70</v>
      </c>
      <c r="E81" s="75">
        <f>(SUMIFS(周检修业务统计数据!I:I,周检修业务统计数据!B:B,B81,周检修业务统计数据!C:C,"干箱",周检修业务统计数据!D:D,"COS")+SUMIFS(周检修业务统计数据!J:J,周检修业务统计数据!B:B,B81,周检修业务统计数据!C:C,"干箱",周检修业务统计数据!D:D,"COS"))*1.13</f>
        <v>45588.62</v>
      </c>
      <c r="F81" s="76">
        <f>(E81-'2025年18周'!E81)/'2025年18周'!E81</f>
        <v>-0.3252</v>
      </c>
      <c r="G81" s="77">
        <f t="shared" si="12"/>
        <v>326</v>
      </c>
      <c r="H81" s="76">
        <f>(G81-'2025年18周'!G81)/'2025年18周'!G81</f>
        <v>0.0124</v>
      </c>
      <c r="I81" s="6">
        <f>SUMIFS(周检修业务统计数据!L:L,周检修业务统计数据!B:B,B81,周检修业务统计数据!C:C,"干箱",周检修业务统计数据!D:D,"COS")*1.06</f>
        <v>0</v>
      </c>
      <c r="J81" s="6">
        <f>SUMIFS(周检修业务统计数据!E:E,周检修业务统计数据!B:B,B81,周检修业务统计数据!C:C,"干箱",周检修业务统计数据!D:D,"&lt;&gt;COS")</f>
        <v>0</v>
      </c>
      <c r="K81" s="6">
        <f>J81-'2025年18周'!J81</f>
        <v>0</v>
      </c>
      <c r="L81" s="75">
        <f>(SUMIFS(周检修业务统计数据!I:I,周检修业务统计数据!B:B,B81,周检修业务统计数据!C:C,"干箱",周检修业务统计数据!D:D,"&lt;&gt;COS")+SUMIFS(周检修业务统计数据!J:J,周检修业务统计数据!B:B,B81,周检修业务统计数据!C:C,"干箱",周检修业务统计数据!D:D,"&lt;&gt;COS"))*1.13++SUMIFS(周检修业务统计数据!L:L,周检修业务统计数据!B:B,B81,周检修业务统计数据!C:C,"干箱",周检修业务统计数据!D:D,"&lt;&gt;COS")*1.06</f>
        <v>0</v>
      </c>
      <c r="M81" s="76" t="e">
        <f>(L81-'2025年18周'!L81)/'2025年18周'!L81</f>
        <v>#DIV/0!</v>
      </c>
      <c r="N81" s="77" t="e">
        <f t="shared" si="13"/>
        <v>#DIV/0!</v>
      </c>
      <c r="O81" s="76" t="e">
        <f>(N81-'2025年18周'!N81)/'2025年18周'!N81</f>
        <v>#DIV/0!</v>
      </c>
      <c r="P81" s="78">
        <f>(SUMIFS(周检修业务统计数据!I:I,周检修业务统计数据!B:B,B81,周检修业务统计数据!C:C,"&lt;&gt;干箱")+SUMIFS(周检修业务统计数据!J:J,周检修业务统计数据!B:B,B81,周检修业务统计数据!C:C,"&lt;&gt;干箱"))*1.13++SUMIFS(周检修业务统计数据!L:L,周检修业务统计数据!B:B,B81,周检修业务统计数据!C:C,"&lt;&gt;干箱")*1.06</f>
        <v>0</v>
      </c>
      <c r="Q81" s="130">
        <v>13135</v>
      </c>
      <c r="R81" s="3"/>
      <c r="S81" s="3">
        <f t="shared" si="14"/>
        <v>0</v>
      </c>
      <c r="T81" s="168">
        <f t="shared" si="15"/>
        <v>140</v>
      </c>
      <c r="U81" s="77">
        <f t="shared" si="16"/>
        <v>58724</v>
      </c>
      <c r="V81" s="43">
        <f>(E81+L81)/W81</f>
        <v>9118</v>
      </c>
      <c r="W81" s="3">
        <v>5</v>
      </c>
      <c r="X81" s="223"/>
      <c r="Y81" s="200"/>
      <c r="Z81" s="224"/>
      <c r="AA81" s="224"/>
      <c r="AB81" s="224"/>
      <c r="AC81" s="201"/>
      <c r="AD81" s="104"/>
    </row>
    <row r="82" ht="18" customHeight="1" spans="1:30">
      <c r="A82" s="10" t="s">
        <v>50</v>
      </c>
      <c r="B82" s="6" t="s">
        <v>53</v>
      </c>
      <c r="C82" s="6">
        <f>SUMIFS(周检修业务统计数据!E:E,周检修业务统计数据!B:B,B82,周检修业务统计数据!C:C,"干箱",周检修业务统计数据!D:D,"COS")</f>
        <v>881</v>
      </c>
      <c r="D82" s="6">
        <f>C82-'2025年18周'!C82</f>
        <v>-114</v>
      </c>
      <c r="E82" s="75">
        <f>(SUMIFS(周检修业务统计数据!I:I,周检修业务统计数据!B:B,B82,周检修业务统计数据!C:C,"干箱",周检修业务统计数据!D:D,"COS")+SUMIFS(周检修业务统计数据!J:J,周检修业务统计数据!B:B,B82,周检修业务统计数据!C:C,"干箱",周检修业务统计数据!D:D,"COS"))*1.13</f>
        <v>243390.59</v>
      </c>
      <c r="F82" s="76">
        <f>(E82-'2025年18周'!E82)/'2025年18周'!E82</f>
        <v>-0.2446</v>
      </c>
      <c r="G82" s="77">
        <f t="shared" si="12"/>
        <v>276</v>
      </c>
      <c r="H82" s="76">
        <f>(G82-'2025年18周'!G82)/'2025年18周'!G82</f>
        <v>-0.1481</v>
      </c>
      <c r="I82" s="6">
        <f>SUMIFS(周检修业务统计数据!L:L,周检修业务统计数据!B:B,B82,周检修业务统计数据!C:C,"干箱",周检修业务统计数据!D:D,"COS")*1.06</f>
        <v>0</v>
      </c>
      <c r="J82" s="6">
        <f>SUMIFS(周检修业务统计数据!E:E,周检修业务统计数据!B:B,B82,周检修业务统计数据!C:C,"干箱",周检修业务统计数据!D:D,"&lt;&gt;COS")</f>
        <v>15</v>
      </c>
      <c r="K82" s="6">
        <f>J82-'2025年18周'!J82</f>
        <v>1</v>
      </c>
      <c r="L82" s="75">
        <f>(SUMIFS(周检修业务统计数据!I:I,周检修业务统计数据!B:B,B82,周检修业务统计数据!C:C,"干箱",周检修业务统计数据!D:D,"&lt;&gt;COS")+SUMIFS(周检修业务统计数据!J:J,周检修业务统计数据!B:B,B82,周检修业务统计数据!C:C,"干箱",周检修业务统计数据!D:D,"&lt;&gt;COS"))*1.13++SUMIFS(周检修业务统计数据!L:L,周检修业务统计数据!B:B,B82,周检修业务统计数据!C:C,"干箱",周检修业务统计数据!D:D,"&lt;&gt;COS")*1.06</f>
        <v>5543.28</v>
      </c>
      <c r="M82" s="76">
        <f>(L82-'2025年18周'!L82)/'2025年18周'!L82</f>
        <v>1.1711</v>
      </c>
      <c r="N82" s="77">
        <f t="shared" si="13"/>
        <v>370</v>
      </c>
      <c r="O82" s="76">
        <f>(N82-'2025年18周'!N82)/'2025年18周'!N82</f>
        <v>1.033</v>
      </c>
      <c r="P82" s="78">
        <f>(SUMIFS(周检修业务统计数据!I:I,周检修业务统计数据!B:B,B82,周检修业务统计数据!C:C,"&lt;&gt;干箱")+SUMIFS(周检修业务统计数据!J:J,周检修业务统计数据!B:B,B82,周检修业务统计数据!C:C,"&lt;&gt;干箱"))*1.13++SUMIFS(周检修业务统计数据!L:L,周检修业务统计数据!B:B,B82,周检修业务统计数据!C:C,"&lt;&gt;干箱")*1.06</f>
        <v>0</v>
      </c>
      <c r="Q82" s="130">
        <v>36112</v>
      </c>
      <c r="R82" s="130">
        <v>10260</v>
      </c>
      <c r="S82" s="3">
        <f t="shared" si="14"/>
        <v>0</v>
      </c>
      <c r="T82" s="168">
        <f t="shared" si="15"/>
        <v>896</v>
      </c>
      <c r="U82" s="77">
        <f t="shared" si="16"/>
        <v>295306</v>
      </c>
      <c r="V82" s="225">
        <f>(E82+L82+E83+L83)/W82</f>
        <v>18772</v>
      </c>
      <c r="W82" s="226">
        <v>14</v>
      </c>
      <c r="X82" s="227">
        <v>700</v>
      </c>
      <c r="Y82" s="228">
        <f>SUM(T82:T83)-X82</f>
        <v>233</v>
      </c>
      <c r="Z82" s="229">
        <f ca="1">X82*$Z$2</f>
        <v>13300</v>
      </c>
      <c r="AA82" s="229">
        <f>SUM(自营2026周完成情况!BB92:BB94)</f>
        <v>16035</v>
      </c>
      <c r="AB82" s="229">
        <f ca="1">AA82-Z82</f>
        <v>2735</v>
      </c>
      <c r="AC82" s="230"/>
      <c r="AD82" s="104"/>
    </row>
    <row r="83" customFormat="1" ht="18" customHeight="1" spans="1:30">
      <c r="A83" s="10" t="s">
        <v>50</v>
      </c>
      <c r="B83" s="6" t="s">
        <v>54</v>
      </c>
      <c r="C83" s="6">
        <f>SUMIFS(周检修业务统计数据!E:E,周检修业务统计数据!B:B,B83,周检修业务统计数据!C:C,"干箱",周检修业务统计数据!D:D,"COS")</f>
        <v>37</v>
      </c>
      <c r="D83" s="6">
        <f>C83-'2025年18周'!C83</f>
        <v>28</v>
      </c>
      <c r="E83" s="75">
        <f>(SUMIFS(周检修业务统计数据!I:I,周检修业务统计数据!B:B,B83,周检修业务统计数据!C:C,"干箱",周检修业务统计数据!D:D,"COS")+SUMIFS(周检修业务统计数据!J:J,周检修业务统计数据!B:B,B83,周检修业务统计数据!C:C,"干箱",周检修业务统计数据!D:D,"COS"))*1.13</f>
        <v>13867.6</v>
      </c>
      <c r="F83" s="76">
        <f>(E83-'2025年18周'!E83)/'2025年18周'!E83</f>
        <v>2.1011</v>
      </c>
      <c r="G83" s="77">
        <f t="shared" si="12"/>
        <v>375</v>
      </c>
      <c r="H83" s="76">
        <f>(G83-'2025年18周'!G83)/'2025年18周'!G83</f>
        <v>-0.2455</v>
      </c>
      <c r="I83" s="6">
        <f>SUMIFS(周检修业务统计数据!L:L,周检修业务统计数据!B:B,B83,周检修业务统计数据!C:C,"干箱",周检修业务统计数据!D:D,"COS")*1.06</f>
        <v>2035.1258</v>
      </c>
      <c r="J83" s="6">
        <f>SUMIFS(周检修业务统计数据!E:E,周检修业务统计数据!B:B,B83,周检修业务统计数据!C:C,"干箱",周检修业务统计数据!D:D,"&lt;&gt;COS")</f>
        <v>0</v>
      </c>
      <c r="K83" s="6">
        <f>J83-'2025年18周'!J83</f>
        <v>0</v>
      </c>
      <c r="L83" s="75">
        <f>(SUMIFS(周检修业务统计数据!I:I,周检修业务统计数据!B:B,B83,周检修业务统计数据!C:C,"干箱",周检修业务统计数据!D:D,"&lt;&gt;COS")+SUMIFS(周检修业务统计数据!J:J,周检修业务统计数据!B:B,B83,周检修业务统计数据!C:C,"干箱",周检修业务统计数据!D:D,"&lt;&gt;COS"))*1.13++SUMIFS(周检修业务统计数据!L:L,周检修业务统计数据!B:B,B83,周检修业务统计数据!C:C,"干箱",周检修业务统计数据!D:D,"&lt;&gt;COS")*1.06</f>
        <v>0</v>
      </c>
      <c r="M83" s="76" t="e">
        <f>(L83-'2025年18周'!L83)/'2025年18周'!L83</f>
        <v>#DIV/0!</v>
      </c>
      <c r="N83" s="77" t="e">
        <f t="shared" si="13"/>
        <v>#DIV/0!</v>
      </c>
      <c r="O83" s="76" t="e">
        <f>(N83-'2025年18周'!N83)/'2025年18周'!N83</f>
        <v>#DIV/0!</v>
      </c>
      <c r="P83" s="78">
        <f>(SUMIFS(周检修业务统计数据!I:I,周检修业务统计数据!B:B,B83,周检修业务统计数据!C:C,"&lt;&gt;干箱")+SUMIFS(周检修业务统计数据!J:J,周检修业务统计数据!B:B,B83,周检修业务统计数据!C:C,"&lt;&gt;干箱"))*1.13++SUMIFS(周检修业务统计数据!L:L,周检修业务统计数据!B:B,B83,周检修业务统计数据!C:C,"&lt;&gt;干箱")*1.06</f>
        <v>0</v>
      </c>
      <c r="Q83" s="130"/>
      <c r="R83" s="3"/>
      <c r="S83" s="3">
        <f t="shared" si="14"/>
        <v>0</v>
      </c>
      <c r="T83" s="168">
        <f t="shared" si="15"/>
        <v>37</v>
      </c>
      <c r="U83" s="77">
        <f t="shared" si="16"/>
        <v>15903</v>
      </c>
      <c r="V83" s="231"/>
      <c r="W83" s="232"/>
      <c r="X83" s="233"/>
      <c r="Y83" s="234"/>
      <c r="Z83" s="235"/>
      <c r="AA83" s="235"/>
      <c r="AB83" s="235"/>
      <c r="AC83" s="230"/>
      <c r="AD83" s="104"/>
    </row>
    <row r="84" s="164" customFormat="1" ht="18" customHeight="1" spans="1:30">
      <c r="A84" s="11" t="s">
        <v>55</v>
      </c>
      <c r="B84" s="12" t="s">
        <v>56</v>
      </c>
      <c r="C84" s="12">
        <f>SUMIFS(周检修业务统计数据!E:E,周检修业务统计数据!B:B,B84,周检修业务统计数据!C:C,"干箱",周检修业务统计数据!D:D,"COS")</f>
        <v>154</v>
      </c>
      <c r="D84" s="12">
        <f>C84-'2025年18周'!C84</f>
        <v>-159</v>
      </c>
      <c r="E84" s="85">
        <f>(SUMIFS(周检修业务统计数据!I:I,周检修业务统计数据!B:B,B84,周检修业务统计数据!C:C,"干箱",周检修业务统计数据!D:D,"COS")+SUMIFS(周检修业务统计数据!J:J,周检修业务统计数据!B:B,B84,周检修业务统计数据!C:C,"干箱",周检修业务统计数据!D:D,"COS"))*1.13</f>
        <v>39863.17</v>
      </c>
      <c r="F84" s="86">
        <f>(E84-'2025年18周'!E84)/'2025年18周'!E84</f>
        <v>-0.4946</v>
      </c>
      <c r="G84" s="87">
        <f t="shared" ref="G84:G110" si="21">E84/C84</f>
        <v>259</v>
      </c>
      <c r="H84" s="86">
        <f>(G84-'2025年18周'!G84)/'2025年18周'!G84</f>
        <v>0.0278</v>
      </c>
      <c r="I84" s="12">
        <f>SUMIFS(周检修业务统计数据!L:L,周检修业务统计数据!B:B,B84,周检修业务统计数据!C:C,"干箱",周检修业务统计数据!D:D,"COS")*1.06</f>
        <v>9530.0784</v>
      </c>
      <c r="J84" s="12">
        <f>SUMIFS(周检修业务统计数据!E:E,周检修业务统计数据!B:B,B84,周检修业务统计数据!C:C,"干箱",周检修业务统计数据!D:D,"&lt;&gt;COS")</f>
        <v>0</v>
      </c>
      <c r="K84" s="12">
        <f>J84-'2025年18周'!J84</f>
        <v>0</v>
      </c>
      <c r="L84" s="85">
        <f>(SUMIFS(周检修业务统计数据!I:I,周检修业务统计数据!B:B,B84,周检修业务统计数据!C:C,"干箱",周检修业务统计数据!D:D,"&lt;&gt;COS")+SUMIFS(周检修业务统计数据!J:J,周检修业务统计数据!B:B,B84,周检修业务统计数据!C:C,"干箱",周检修业务统计数据!D:D,"&lt;&gt;COS"))*1.13++SUMIFS(周检修业务统计数据!L:L,周检修业务统计数据!B:B,B84,周检修业务统计数据!C:C,"干箱",周检修业务统计数据!D:D,"&lt;&gt;COS")*1.06</f>
        <v>0</v>
      </c>
      <c r="M84" s="86" t="e">
        <f>(L84-'2025年18周'!L84)/'2025年18周'!L84</f>
        <v>#DIV/0!</v>
      </c>
      <c r="N84" s="87" t="e">
        <f t="shared" ref="N84:N110" si="22">L84/J84</f>
        <v>#DIV/0!</v>
      </c>
      <c r="O84" s="86" t="e">
        <f>(N84-'2025年18周'!N84)/'2025年18周'!N84</f>
        <v>#DIV/0!</v>
      </c>
      <c r="P84" s="88">
        <f>(SUMIFS(周检修业务统计数据!I:I,周检修业务统计数据!B:B,B84,周检修业务统计数据!C:C,"&lt;&gt;干箱")+SUMIFS(周检修业务统计数据!J:J,周检修业务统计数据!B:B,B84,周检修业务统计数据!C:C,"&lt;&gt;干箱"))*1.13++SUMIFS(周检修业务统计数据!L:L,周检修业务统计数据!B:B,B84,周检修业务统计数据!C:C,"&lt;&gt;干箱")*1.06</f>
        <v>0</v>
      </c>
      <c r="Q84" s="53"/>
      <c r="R84" s="53"/>
      <c r="S84" s="53">
        <f t="shared" ref="S84:S110" si="23">S226</f>
        <v>0</v>
      </c>
      <c r="T84" s="12">
        <f t="shared" ref="T84:T110" si="24">C84+J84</f>
        <v>154</v>
      </c>
      <c r="U84" s="87">
        <f t="shared" ref="U84:U110" si="25">E84+L84+I84+P84+Q84+R84+S84</f>
        <v>49393</v>
      </c>
      <c r="V84" s="87" t="e">
        <f t="shared" ref="V84:V110" si="26">U84/W84</f>
        <v>#DIV/0!</v>
      </c>
      <c r="W84" s="12"/>
      <c r="X84" s="144"/>
      <c r="Y84" s="130"/>
      <c r="Z84" s="53"/>
      <c r="AA84" s="53"/>
      <c r="AB84" s="53"/>
      <c r="AC84" s="236"/>
    </row>
    <row r="85" s="164" customFormat="1" ht="18" customHeight="1" spans="1:30">
      <c r="A85" s="11" t="s">
        <v>55</v>
      </c>
      <c r="B85" s="12" t="s">
        <v>57</v>
      </c>
      <c r="C85" s="12">
        <f>SUMIFS(周检修业务统计数据!E:E,周检修业务统计数据!B:B,B85,周检修业务统计数据!C:C,"干箱",周检修业务统计数据!D:D,"COS")</f>
        <v>506</v>
      </c>
      <c r="D85" s="12">
        <f>C85-'2025年18周'!C85</f>
        <v>67</v>
      </c>
      <c r="E85" s="85">
        <f>(SUMIFS(周检修业务统计数据!I:I,周检修业务统计数据!B:B,B85,周检修业务统计数据!C:C,"干箱",周检修业务统计数据!D:D,"COS")+SUMIFS(周检修业务统计数据!J:J,周检修业务统计数据!B:B,B85,周检修业务统计数据!C:C,"干箱",周检修业务统计数据!D:D,"COS"))*1.13</f>
        <v>126219.01</v>
      </c>
      <c r="F85" s="86">
        <f>(E85-'2025年18周'!E85)/'2025年18周'!E85</f>
        <v>0.1944</v>
      </c>
      <c r="G85" s="87">
        <f t="shared" si="21"/>
        <v>249</v>
      </c>
      <c r="H85" s="86">
        <f>(G85-'2025年18周'!G85)/'2025年18周'!G85</f>
        <v>0.0332</v>
      </c>
      <c r="I85" s="12">
        <f>SUMIFS(周检修业务统计数据!L:L,周检修业务统计数据!B:B,B85,周检修业务统计数据!C:C,"干箱",周检修业务统计数据!D:D,"COS")*1.06</f>
        <v>0</v>
      </c>
      <c r="J85" s="12">
        <f>SUMIFS(周检修业务统计数据!E:E,周检修业务统计数据!B:B,B85,周检修业务统计数据!C:C,"干箱",周检修业务统计数据!D:D,"&lt;&gt;COS")</f>
        <v>0</v>
      </c>
      <c r="K85" s="12">
        <f>J85-'2025年18周'!J85</f>
        <v>0</v>
      </c>
      <c r="L85" s="85">
        <f>(SUMIFS(周检修业务统计数据!I:I,周检修业务统计数据!B:B,B85,周检修业务统计数据!C:C,"干箱",周检修业务统计数据!D:D,"&lt;&gt;COS")+SUMIFS(周检修业务统计数据!J:J,周检修业务统计数据!B:B,B85,周检修业务统计数据!C:C,"干箱",周检修业务统计数据!D:D,"&lt;&gt;COS"))*1.13++SUMIFS(周检修业务统计数据!L:L,周检修业务统计数据!B:B,B85,周检修业务统计数据!C:C,"干箱",周检修业务统计数据!D:D,"&lt;&gt;COS")*1.06</f>
        <v>0</v>
      </c>
      <c r="M85" s="86" t="e">
        <f>(L85-'2025年18周'!L85)/'2025年18周'!L85</f>
        <v>#DIV/0!</v>
      </c>
      <c r="N85" s="87" t="e">
        <f t="shared" si="22"/>
        <v>#DIV/0!</v>
      </c>
      <c r="O85" s="86" t="e">
        <f>(N85-'2025年18周'!N85)/'2025年18周'!N85</f>
        <v>#DIV/0!</v>
      </c>
      <c r="P85" s="88">
        <f>(SUMIFS(周检修业务统计数据!I:I,周检修业务统计数据!B:B,B85,周检修业务统计数据!C:C,"&lt;&gt;干箱")+SUMIFS(周检修业务统计数据!J:J,周检修业务统计数据!B:B,B85,周检修业务统计数据!C:C,"&lt;&gt;干箱"))*1.13++SUMIFS(周检修业务统计数据!L:L,周检修业务统计数据!B:B,B85,周检修业务统计数据!C:C,"&lt;&gt;干箱")*1.06</f>
        <v>6828.73</v>
      </c>
      <c r="Q85" s="53"/>
      <c r="R85" s="53"/>
      <c r="S85" s="53">
        <f t="shared" si="23"/>
        <v>0</v>
      </c>
      <c r="T85" s="12">
        <f t="shared" si="24"/>
        <v>506</v>
      </c>
      <c r="U85" s="87">
        <f t="shared" si="25"/>
        <v>133048</v>
      </c>
      <c r="V85" s="87" t="e">
        <f t="shared" si="26"/>
        <v>#DIV/0!</v>
      </c>
      <c r="W85" s="12"/>
      <c r="X85" s="144"/>
      <c r="Y85" s="130"/>
      <c r="Z85" s="53"/>
      <c r="AA85" s="53"/>
      <c r="AB85" s="53"/>
      <c r="AC85" s="237" t="s">
        <v>225</v>
      </c>
    </row>
    <row r="86" s="164" customFormat="1" ht="18" customHeight="1" spans="1:30">
      <c r="A86" s="11" t="s">
        <v>55</v>
      </c>
      <c r="B86" s="12" t="s">
        <v>58</v>
      </c>
      <c r="C86" s="12">
        <f>SUMIFS(周检修业务统计数据!E:E,周检修业务统计数据!B:B,B86,周检修业务统计数据!C:C,"干箱",周检修业务统计数据!D:D,"COS")</f>
        <v>22</v>
      </c>
      <c r="D86" s="12">
        <f>C86-'2025年18周'!C86</f>
        <v>-7</v>
      </c>
      <c r="E86" s="85">
        <f>(SUMIFS(周检修业务统计数据!I:I,周检修业务统计数据!B:B,B86,周检修业务统计数据!C:C,"干箱",周检修业务统计数据!D:D,"COS")+SUMIFS(周检修业务统计数据!J:J,周检修业务统计数据!B:B,B86,周检修业务统计数据!C:C,"干箱",周检修业务统计数据!D:D,"COS"))*1.13</f>
        <v>842.87</v>
      </c>
      <c r="F86" s="86">
        <f>(E86-'2025年18周'!E86)/'2025年18周'!E86</f>
        <v>-0.7477</v>
      </c>
      <c r="G86" s="87">
        <f t="shared" si="21"/>
        <v>38</v>
      </c>
      <c r="H86" s="86">
        <f>(G86-'2025年18周'!G86)/'2025年18周'!G86</f>
        <v>-0.6696</v>
      </c>
      <c r="I86" s="12">
        <f>SUMIFS(周检修业务统计数据!L:L,周检修业务统计数据!B:B,B86,周检修业务统计数据!C:C,"干箱",周检修业务统计数据!D:D,"COS")*1.06</f>
        <v>1649.89</v>
      </c>
      <c r="J86" s="12">
        <f>SUMIFS(周检修业务统计数据!E:E,周检修业务统计数据!B:B,B86,周检修业务统计数据!C:C,"干箱",周检修业务统计数据!D:D,"&lt;&gt;COS")</f>
        <v>0</v>
      </c>
      <c r="K86" s="12">
        <f>J86-'2025年18周'!J86</f>
        <v>0</v>
      </c>
      <c r="L86" s="85">
        <f>(SUMIFS(周检修业务统计数据!I:I,周检修业务统计数据!B:B,B86,周检修业务统计数据!C:C,"干箱",周检修业务统计数据!D:D,"&lt;&gt;COS")+SUMIFS(周检修业务统计数据!J:J,周检修业务统计数据!B:B,B86,周检修业务统计数据!C:C,"干箱",周检修业务统计数据!D:D,"&lt;&gt;COS"))*1.13++SUMIFS(周检修业务统计数据!L:L,周检修业务统计数据!B:B,B86,周检修业务统计数据!C:C,"干箱",周检修业务统计数据!D:D,"&lt;&gt;COS")*1.06</f>
        <v>0</v>
      </c>
      <c r="M86" s="86" t="e">
        <f>(L86-'2025年18周'!L86)/'2025年18周'!L86</f>
        <v>#DIV/0!</v>
      </c>
      <c r="N86" s="87" t="e">
        <f t="shared" si="22"/>
        <v>#DIV/0!</v>
      </c>
      <c r="O86" s="86" t="e">
        <f>(N86-'2025年18周'!N86)/'2025年18周'!N86</f>
        <v>#DIV/0!</v>
      </c>
      <c r="P86" s="88">
        <f>(SUMIFS(周检修业务统计数据!I:I,周检修业务统计数据!B:B,B86,周检修业务统计数据!C:C,"&lt;&gt;干箱")+SUMIFS(周检修业务统计数据!J:J,周检修业务统计数据!B:B,B86,周检修业务统计数据!C:C,"&lt;&gt;干箱"))*1.13++SUMIFS(周检修业务统计数据!L:L,周检修业务统计数据!B:B,B86,周检修业务统计数据!C:C,"&lt;&gt;干箱")*1.06</f>
        <v>0</v>
      </c>
      <c r="Q86" s="53"/>
      <c r="R86" s="53"/>
      <c r="S86" s="53">
        <f t="shared" si="23"/>
        <v>0</v>
      </c>
      <c r="T86" s="12">
        <f t="shared" si="24"/>
        <v>22</v>
      </c>
      <c r="U86" s="87">
        <f t="shared" si="25"/>
        <v>2493</v>
      </c>
      <c r="V86" s="87" t="e">
        <f t="shared" si="26"/>
        <v>#DIV/0!</v>
      </c>
      <c r="W86" s="12"/>
      <c r="X86" s="144"/>
      <c r="Y86" s="130"/>
      <c r="Z86" s="53"/>
      <c r="AA86" s="53"/>
      <c r="AB86" s="53"/>
      <c r="AC86" s="237"/>
    </row>
    <row r="87" s="164" customFormat="1" ht="18" customHeight="1" spans="1:30">
      <c r="A87" s="11" t="s">
        <v>55</v>
      </c>
      <c r="B87" s="12" t="s">
        <v>59</v>
      </c>
      <c r="C87" s="12">
        <f>SUMIFS(周检修业务统计数据!E:E,周检修业务统计数据!B:B,B87,周检修业务统计数据!C:C,"干箱",周检修业务统计数据!D:D,"COS")</f>
        <v>15</v>
      </c>
      <c r="D87" s="12">
        <f>C87-'2025年18周'!C87</f>
        <v>2</v>
      </c>
      <c r="E87" s="85">
        <f>(SUMIFS(周检修业务统计数据!I:I,周检修业务统计数据!B:B,B87,周检修业务统计数据!C:C,"干箱",周检修业务统计数据!D:D,"COS")+SUMIFS(周检修业务统计数据!J:J,周检修业务统计数据!B:B,B87,周检修业务统计数据!C:C,"干箱",周检修业务统计数据!D:D,"COS"))*1.13</f>
        <v>1542.03</v>
      </c>
      <c r="F87" s="86">
        <f>(E87-'2025年18周'!E87)/'2025年18周'!E87</f>
        <v>0.5381</v>
      </c>
      <c r="G87" s="87">
        <f t="shared" si="21"/>
        <v>103</v>
      </c>
      <c r="H87" s="86">
        <f>(G87-'2025年18周'!G87)/'2025年18周'!G87</f>
        <v>0.3377</v>
      </c>
      <c r="I87" s="12">
        <f>SUMIFS(周检修业务统计数据!L:L,周检修业务统计数据!B:B,B87,周检修业务统计数据!C:C,"干箱",周检修业务统计数据!D:D,"COS")*1.06</f>
        <v>825.051</v>
      </c>
      <c r="J87" s="12">
        <f>SUMIFS(周检修业务统计数据!E:E,周检修业务统计数据!B:B,B87,周检修业务统计数据!C:C,"干箱",周检修业务统计数据!D:D,"&lt;&gt;COS")</f>
        <v>0</v>
      </c>
      <c r="K87" s="12">
        <f>J87-'2025年18周'!J87</f>
        <v>0</v>
      </c>
      <c r="L87" s="85">
        <f>(SUMIFS(周检修业务统计数据!I:I,周检修业务统计数据!B:B,B87,周检修业务统计数据!C:C,"干箱",周检修业务统计数据!D:D,"&lt;&gt;COS")+SUMIFS(周检修业务统计数据!J:J,周检修业务统计数据!B:B,B87,周检修业务统计数据!C:C,"干箱",周检修业务统计数据!D:D,"&lt;&gt;COS"))*1.13++SUMIFS(周检修业务统计数据!L:L,周检修业务统计数据!B:B,B87,周检修业务统计数据!C:C,"干箱",周检修业务统计数据!D:D,"&lt;&gt;COS")*1.06</f>
        <v>0</v>
      </c>
      <c r="M87" s="86" t="e">
        <f>(L87-'2025年18周'!L87)/'2025年18周'!L87</f>
        <v>#DIV/0!</v>
      </c>
      <c r="N87" s="87" t="e">
        <f t="shared" si="22"/>
        <v>#DIV/0!</v>
      </c>
      <c r="O87" s="86" t="e">
        <f>(N87-'2025年18周'!N87)/'2025年18周'!N87</f>
        <v>#DIV/0!</v>
      </c>
      <c r="P87" s="88">
        <f>(SUMIFS(周检修业务统计数据!I:I,周检修业务统计数据!B:B,B87,周检修业务统计数据!C:C,"&lt;&gt;干箱")+SUMIFS(周检修业务统计数据!J:J,周检修业务统计数据!B:B,B87,周检修业务统计数据!C:C,"&lt;&gt;干箱"))*1.13++SUMIFS(周检修业务统计数据!L:L,周检修业务统计数据!B:B,B87,周检修业务统计数据!C:C,"&lt;&gt;干箱")*1.06</f>
        <v>0</v>
      </c>
      <c r="Q87" s="53"/>
      <c r="R87" s="53"/>
      <c r="S87" s="53">
        <f t="shared" si="23"/>
        <v>0</v>
      </c>
      <c r="T87" s="12">
        <f t="shared" si="24"/>
        <v>15</v>
      </c>
      <c r="U87" s="87">
        <f t="shared" si="25"/>
        <v>2367</v>
      </c>
      <c r="V87" s="87" t="e">
        <f t="shared" si="26"/>
        <v>#DIV/0!</v>
      </c>
      <c r="W87" s="12"/>
      <c r="X87" s="144"/>
      <c r="Y87" s="130"/>
      <c r="Z87" s="53"/>
      <c r="AA87" s="53"/>
      <c r="AB87" s="53"/>
      <c r="AC87" s="237"/>
    </row>
    <row r="88" s="164" customFormat="1" ht="18" customHeight="1" spans="1:30">
      <c r="A88" s="11" t="s">
        <v>55</v>
      </c>
      <c r="B88" s="12" t="s">
        <v>60</v>
      </c>
      <c r="C88" s="12">
        <f>SUMIFS(周检修业务统计数据!E:E,周检修业务统计数据!B:B,B88,周检修业务统计数据!C:C,"干箱",周检修业务统计数据!D:D,"COS")</f>
        <v>52</v>
      </c>
      <c r="D88" s="12">
        <f>C88-'2025年18周'!C88</f>
        <v>15</v>
      </c>
      <c r="E88" s="85">
        <f>(SUMIFS(周检修业务统计数据!I:I,周检修业务统计数据!B:B,B88,周检修业务统计数据!C:C,"干箱",周检修业务统计数据!D:D,"COS")+SUMIFS(周检修业务统计数据!J:J,周检修业务统计数据!B:B,B88,周检修业务统计数据!C:C,"干箱",周检修业务统计数据!D:D,"COS"))*1.13</f>
        <v>18127.77</v>
      </c>
      <c r="F88" s="86">
        <f>(E88-'2025年18周'!E88)/'2025年18周'!E88</f>
        <v>0.5537</v>
      </c>
      <c r="G88" s="87">
        <f t="shared" si="21"/>
        <v>349</v>
      </c>
      <c r="H88" s="86">
        <f>(G88-'2025年18周'!G88)/'2025年18周'!G88</f>
        <v>0.1079</v>
      </c>
      <c r="I88" s="12">
        <f>SUMIFS(周检修业务统计数据!L:L,周检修业务统计数据!B:B,B88,周检修业务统计数据!C:C,"干箱",周检修业务统计数据!D:D,"COS")*1.06</f>
        <v>2980.1264</v>
      </c>
      <c r="J88" s="12">
        <f>SUMIFS(周检修业务统计数据!E:E,周检修业务统计数据!B:B,B88,周检修业务统计数据!C:C,"干箱",周检修业务统计数据!D:D,"&lt;&gt;COS")</f>
        <v>0</v>
      </c>
      <c r="K88" s="12">
        <f>J88-'2025年18周'!J88</f>
        <v>0</v>
      </c>
      <c r="L88" s="85">
        <f>(SUMIFS(周检修业务统计数据!I:I,周检修业务统计数据!B:B,B88,周检修业务统计数据!C:C,"干箱",周检修业务统计数据!D:D,"&lt;&gt;COS")+SUMIFS(周检修业务统计数据!J:J,周检修业务统计数据!B:B,B88,周检修业务统计数据!C:C,"干箱",周检修业务统计数据!D:D,"&lt;&gt;COS"))*1.13++SUMIFS(周检修业务统计数据!L:L,周检修业务统计数据!B:B,B88,周检修业务统计数据!C:C,"干箱",周检修业务统计数据!D:D,"&lt;&gt;COS")*1.06</f>
        <v>0</v>
      </c>
      <c r="M88" s="86" t="e">
        <f>(L88-'2025年18周'!L88)/'2025年18周'!L88</f>
        <v>#DIV/0!</v>
      </c>
      <c r="N88" s="87" t="e">
        <f t="shared" si="22"/>
        <v>#DIV/0!</v>
      </c>
      <c r="O88" s="86" t="e">
        <f>(N88-'2025年18周'!N88)/'2025年18周'!N88</f>
        <v>#DIV/0!</v>
      </c>
      <c r="P88" s="88">
        <f>(SUMIFS(周检修业务统计数据!I:I,周检修业务统计数据!B:B,B88,周检修业务统计数据!C:C,"&lt;&gt;干箱")+SUMIFS(周检修业务统计数据!J:J,周检修业务统计数据!B:B,B88,周检修业务统计数据!C:C,"&lt;&gt;干箱"))*1.13++SUMIFS(周检修业务统计数据!L:L,周检修业务统计数据!B:B,B88,周检修业务统计数据!C:C,"&lt;&gt;干箱")*1.06</f>
        <v>0</v>
      </c>
      <c r="Q88" s="53"/>
      <c r="R88" s="53"/>
      <c r="S88" s="53">
        <f t="shared" si="23"/>
        <v>0</v>
      </c>
      <c r="T88" s="12">
        <f t="shared" si="24"/>
        <v>52</v>
      </c>
      <c r="U88" s="87">
        <f t="shared" si="25"/>
        <v>21108</v>
      </c>
      <c r="V88" s="87" t="e">
        <f t="shared" si="26"/>
        <v>#DIV/0!</v>
      </c>
      <c r="W88" s="12"/>
      <c r="X88" s="144"/>
      <c r="Y88" s="130"/>
      <c r="Z88" s="53"/>
      <c r="AA88" s="53"/>
      <c r="AB88" s="53"/>
      <c r="AC88" s="237"/>
    </row>
    <row r="89" s="164" customFormat="1" ht="18" customHeight="1" spans="1:30">
      <c r="A89" s="11" t="s">
        <v>55</v>
      </c>
      <c r="B89" s="12" t="s">
        <v>61</v>
      </c>
      <c r="C89" s="12">
        <f>SUMIFS(周检修业务统计数据!E:E,周检修业务统计数据!B:B,B89,周检修业务统计数据!C:C,"干箱",周检修业务统计数据!D:D,"COS")</f>
        <v>0</v>
      </c>
      <c r="D89" s="12">
        <f>C89-'2025年18周'!C89</f>
        <v>-1</v>
      </c>
      <c r="E89" s="85">
        <f>(SUMIFS(周检修业务统计数据!I:I,周检修业务统计数据!B:B,B89,周检修业务统计数据!C:C,"干箱",周检修业务统计数据!D:D,"COS")+SUMIFS(周检修业务统计数据!J:J,周检修业务统计数据!B:B,B89,周检修业务统计数据!C:C,"干箱",周检修业务统计数据!D:D,"COS"))*1.13</f>
        <v>0</v>
      </c>
      <c r="F89" s="86">
        <f>(E89-'2025年18周'!E89)/'2025年18周'!E89</f>
        <v>-1</v>
      </c>
      <c r="G89" s="87" t="e">
        <f t="shared" si="21"/>
        <v>#DIV/0!</v>
      </c>
      <c r="H89" s="86" t="e">
        <f>(G89-'2025年18周'!G89)/'2025年18周'!G89</f>
        <v>#DIV/0!</v>
      </c>
      <c r="I89" s="12">
        <f>SUMIFS(周检修业务统计数据!L:L,周检修业务统计数据!B:B,B89,周检修业务统计数据!C:C,"干箱",周检修业务统计数据!D:D,"COS")*1.06</f>
        <v>0</v>
      </c>
      <c r="J89" s="12">
        <f>SUMIFS(周检修业务统计数据!E:E,周检修业务统计数据!B:B,B89,周检修业务统计数据!C:C,"干箱",周检修业务统计数据!D:D,"&lt;&gt;COS")</f>
        <v>0</v>
      </c>
      <c r="K89" s="12">
        <f>J89-'2025年18周'!J89</f>
        <v>0</v>
      </c>
      <c r="L89" s="85">
        <f>(SUMIFS(周检修业务统计数据!I:I,周检修业务统计数据!B:B,B89,周检修业务统计数据!C:C,"干箱",周检修业务统计数据!D:D,"&lt;&gt;COS")+SUMIFS(周检修业务统计数据!J:J,周检修业务统计数据!B:B,B89,周检修业务统计数据!C:C,"干箱",周检修业务统计数据!D:D,"&lt;&gt;COS"))*1.13++SUMIFS(周检修业务统计数据!L:L,周检修业务统计数据!B:B,B89,周检修业务统计数据!C:C,"干箱",周检修业务统计数据!D:D,"&lt;&gt;COS")*1.06</f>
        <v>0</v>
      </c>
      <c r="M89" s="86" t="e">
        <f>(L89-'2025年18周'!L89)/'2025年18周'!L89</f>
        <v>#DIV/0!</v>
      </c>
      <c r="N89" s="87" t="e">
        <f t="shared" si="22"/>
        <v>#DIV/0!</v>
      </c>
      <c r="O89" s="86" t="e">
        <f>(N89-'2025年18周'!N89)/'2025年18周'!N89</f>
        <v>#DIV/0!</v>
      </c>
      <c r="P89" s="88">
        <f>(SUMIFS(周检修业务统计数据!I:I,周检修业务统计数据!B:B,B89,周检修业务统计数据!C:C,"&lt;&gt;干箱")+SUMIFS(周检修业务统计数据!J:J,周检修业务统计数据!B:B,B89,周检修业务统计数据!C:C,"&lt;&gt;干箱"))*1.13++SUMIFS(周检修业务统计数据!L:L,周检修业务统计数据!B:B,B89,周检修业务统计数据!C:C,"&lt;&gt;干箱")*1.06</f>
        <v>0</v>
      </c>
      <c r="Q89" s="53"/>
      <c r="R89" s="53"/>
      <c r="S89" s="53">
        <f t="shared" si="23"/>
        <v>0</v>
      </c>
      <c r="T89" s="12">
        <f t="shared" si="24"/>
        <v>0</v>
      </c>
      <c r="U89" s="87">
        <f t="shared" si="25"/>
        <v>0</v>
      </c>
      <c r="V89" s="87" t="e">
        <f t="shared" si="26"/>
        <v>#DIV/0!</v>
      </c>
      <c r="W89" s="12"/>
      <c r="X89" s="144"/>
      <c r="Y89" s="130"/>
      <c r="Z89" s="53"/>
      <c r="AA89" s="53"/>
      <c r="AB89" s="53"/>
      <c r="AC89" s="237"/>
    </row>
    <row r="90" s="164" customFormat="1" ht="18" customHeight="1" spans="1:30">
      <c r="A90" s="11" t="s">
        <v>55</v>
      </c>
      <c r="B90" s="12" t="s">
        <v>62</v>
      </c>
      <c r="C90" s="12">
        <f>SUMIFS(周检修业务统计数据!E:E,周检修业务统计数据!B:B,B90,周检修业务统计数据!C:C,"干箱",周检修业务统计数据!D:D,"COS")</f>
        <v>39</v>
      </c>
      <c r="D90" s="12">
        <f>C90-'2025年18周'!C90</f>
        <v>34</v>
      </c>
      <c r="E90" s="85">
        <f>(SUMIFS(周检修业务统计数据!I:I,周检修业务统计数据!B:B,B90,周检修业务统计数据!C:C,"干箱",周检修业务统计数据!D:D,"COS")+SUMIFS(周检修业务统计数据!J:J,周检修业务统计数据!B:B,B90,周检修业务统计数据!C:C,"干箱",周检修业务统计数据!D:D,"COS"))*1.13</f>
        <v>10627.93</v>
      </c>
      <c r="F90" s="86">
        <f>(E90-'2025年18周'!E90)/'2025年18周'!E90</f>
        <v>16.8921</v>
      </c>
      <c r="G90" s="87">
        <f t="shared" si="21"/>
        <v>273</v>
      </c>
      <c r="H90" s="86">
        <f>(G90-'2025年18周'!G90)/'2025年18周'!G90</f>
        <v>1.2941</v>
      </c>
      <c r="I90" s="12">
        <f>SUMIFS(周检修业务统计数据!L:L,周检修业务统计数据!B:B,B90,周检修业务统计数据!C:C,"干箱",周检修业务统计数据!D:D,"COS")*1.06</f>
        <v>2524.973</v>
      </c>
      <c r="J90" s="12">
        <f>SUMIFS(周检修业务统计数据!E:E,周检修业务统计数据!B:B,B90,周检修业务统计数据!C:C,"干箱",周检修业务统计数据!D:D,"&lt;&gt;COS")</f>
        <v>0</v>
      </c>
      <c r="K90" s="12">
        <f>J90-'2025年18周'!J90</f>
        <v>0</v>
      </c>
      <c r="L90" s="85">
        <f>(SUMIFS(周检修业务统计数据!I:I,周检修业务统计数据!B:B,B90,周检修业务统计数据!C:C,"干箱",周检修业务统计数据!D:D,"&lt;&gt;COS")+SUMIFS(周检修业务统计数据!J:J,周检修业务统计数据!B:B,B90,周检修业务统计数据!C:C,"干箱",周检修业务统计数据!D:D,"&lt;&gt;COS"))*1.13++SUMIFS(周检修业务统计数据!L:L,周检修业务统计数据!B:B,B90,周检修业务统计数据!C:C,"干箱",周检修业务统计数据!D:D,"&lt;&gt;COS")*1.06</f>
        <v>0</v>
      </c>
      <c r="M90" s="86" t="e">
        <f>(L90-'2025年18周'!L90)/'2025年18周'!L90</f>
        <v>#DIV/0!</v>
      </c>
      <c r="N90" s="87" t="e">
        <f t="shared" si="22"/>
        <v>#DIV/0!</v>
      </c>
      <c r="O90" s="86" t="e">
        <f>(N90-'2025年18周'!N90)/'2025年18周'!N90</f>
        <v>#DIV/0!</v>
      </c>
      <c r="P90" s="88">
        <f>(SUMIFS(周检修业务统计数据!I:I,周检修业务统计数据!B:B,B90,周检修业务统计数据!C:C,"&lt;&gt;干箱")+SUMIFS(周检修业务统计数据!J:J,周检修业务统计数据!B:B,B90,周检修业务统计数据!C:C,"&lt;&gt;干箱"))*1.13++SUMIFS(周检修业务统计数据!L:L,周检修业务统计数据!B:B,B90,周检修业务统计数据!C:C,"&lt;&gt;干箱")*1.06</f>
        <v>0</v>
      </c>
      <c r="Q90" s="53"/>
      <c r="R90" s="53"/>
      <c r="S90" s="53">
        <f t="shared" si="23"/>
        <v>0</v>
      </c>
      <c r="T90" s="12">
        <f t="shared" si="24"/>
        <v>39</v>
      </c>
      <c r="U90" s="87">
        <f t="shared" si="25"/>
        <v>13153</v>
      </c>
      <c r="V90" s="87" t="e">
        <f t="shared" si="26"/>
        <v>#DIV/0!</v>
      </c>
      <c r="W90" s="12"/>
      <c r="X90" s="144"/>
      <c r="Y90" s="130"/>
      <c r="Z90" s="53"/>
      <c r="AA90" s="53"/>
      <c r="AB90" s="53"/>
      <c r="AC90" s="237"/>
    </row>
    <row r="91" s="164" customFormat="1" ht="18" customHeight="1" spans="1:30">
      <c r="A91" s="11" t="s">
        <v>55</v>
      </c>
      <c r="B91" s="12" t="s">
        <v>63</v>
      </c>
      <c r="C91" s="12">
        <f>SUMIFS(周检修业务统计数据!E:E,周检修业务统计数据!B:B,B91,周检修业务统计数据!C:C,"干箱",周检修业务统计数据!D:D,"COS")</f>
        <v>75</v>
      </c>
      <c r="D91" s="12">
        <f>C91-'2025年18周'!C91</f>
        <v>-95</v>
      </c>
      <c r="E91" s="85">
        <f>(SUMIFS(周检修业务统计数据!I:I,周检修业务统计数据!B:B,B91,周检修业务统计数据!C:C,"干箱",周检修业务统计数据!D:D,"COS")+SUMIFS(周检修业务统计数据!J:J,周检修业务统计数据!B:B,B91,周检修业务统计数据!C:C,"干箱",周检修业务统计数据!D:D,"COS"))*1.13</f>
        <v>7272.04</v>
      </c>
      <c r="F91" s="86">
        <f>(E91-'2025年18周'!E91)/'2025年18周'!E91</f>
        <v>-0.5372</v>
      </c>
      <c r="G91" s="87">
        <f t="shared" si="21"/>
        <v>97</v>
      </c>
      <c r="H91" s="86">
        <f>(G91-'2025年18周'!G91)/'2025年18周'!G91</f>
        <v>0.0543</v>
      </c>
      <c r="I91" s="12">
        <f>SUMIFS(周检修业务统计数据!L:L,周检修业务统计数据!B:B,B91,周检修业务统计数据!C:C,"干箱",周检修业务统计数据!D:D,"COS")*1.06</f>
        <v>5624.625</v>
      </c>
      <c r="J91" s="12">
        <f>SUMIFS(周检修业务统计数据!E:E,周检修业务统计数据!B:B,B91,周检修业务统计数据!C:C,"干箱",周检修业务统计数据!D:D,"&lt;&gt;COS")</f>
        <v>0</v>
      </c>
      <c r="K91" s="12">
        <f>J91-'2025年18周'!J91</f>
        <v>0</v>
      </c>
      <c r="L91" s="85">
        <f>(SUMIFS(周检修业务统计数据!I:I,周检修业务统计数据!B:B,B91,周检修业务统计数据!C:C,"干箱",周检修业务统计数据!D:D,"&lt;&gt;COS")+SUMIFS(周检修业务统计数据!J:J,周检修业务统计数据!B:B,B91,周检修业务统计数据!C:C,"干箱",周检修业务统计数据!D:D,"&lt;&gt;COS"))*1.13++SUMIFS(周检修业务统计数据!L:L,周检修业务统计数据!B:B,B91,周检修业务统计数据!C:C,"干箱",周检修业务统计数据!D:D,"&lt;&gt;COS")*1.06</f>
        <v>0</v>
      </c>
      <c r="M91" s="86" t="e">
        <f>(L91-'2025年18周'!L91)/'2025年18周'!L91</f>
        <v>#DIV/0!</v>
      </c>
      <c r="N91" s="87" t="e">
        <f t="shared" si="22"/>
        <v>#DIV/0!</v>
      </c>
      <c r="O91" s="86" t="e">
        <f>(N91-'2025年18周'!N91)/'2025年18周'!N91</f>
        <v>#DIV/0!</v>
      </c>
      <c r="P91" s="88">
        <f>(SUMIFS(周检修业务统计数据!I:I,周检修业务统计数据!B:B,B91,周检修业务统计数据!C:C,"&lt;&gt;干箱")+SUMIFS(周检修业务统计数据!J:J,周检修业务统计数据!B:B,B91,周检修业务统计数据!C:C,"&lt;&gt;干箱"))*1.13++SUMIFS(周检修业务统计数据!L:L,周检修业务统计数据!B:B,B91,周检修业务统计数据!C:C,"&lt;&gt;干箱")*1.06</f>
        <v>1061.63</v>
      </c>
      <c r="Q91" s="53"/>
      <c r="R91" s="53"/>
      <c r="S91" s="53">
        <f t="shared" si="23"/>
        <v>0</v>
      </c>
      <c r="T91" s="12">
        <f t="shared" si="24"/>
        <v>75</v>
      </c>
      <c r="U91" s="87">
        <f t="shared" si="25"/>
        <v>13958</v>
      </c>
      <c r="V91" s="87" t="e">
        <f t="shared" si="26"/>
        <v>#DIV/0!</v>
      </c>
      <c r="W91" s="12"/>
      <c r="X91" s="144"/>
      <c r="Y91" s="130"/>
      <c r="Z91" s="53"/>
      <c r="AA91" s="53"/>
      <c r="AB91" s="53"/>
      <c r="AC91" s="237"/>
    </row>
    <row r="92" s="164" customFormat="1" ht="18" customHeight="1" spans="1:30">
      <c r="A92" s="11" t="s">
        <v>55</v>
      </c>
      <c r="B92" s="12" t="s">
        <v>64</v>
      </c>
      <c r="C92" s="12">
        <f>SUMIFS(周检修业务统计数据!E:E,周检修业务统计数据!B:B,B92,周检修业务统计数据!C:C,"干箱",周检修业务统计数据!D:D,"COS")</f>
        <v>45</v>
      </c>
      <c r="D92" s="12">
        <f>C92-'2025年18周'!C92</f>
        <v>-107</v>
      </c>
      <c r="E92" s="85">
        <f>(SUMIFS(周检修业务统计数据!I:I,周检修业务统计数据!B:B,B92,周检修业务统计数据!C:C,"干箱",周检修业务统计数据!D:D,"COS")+SUMIFS(周检修业务统计数据!J:J,周检修业务统计数据!B:B,B92,周检修业务统计数据!C:C,"干箱",周检修业务统计数据!D:D,"COS"))*1.13</f>
        <v>21754.66</v>
      </c>
      <c r="F92" s="86">
        <f>(E92-'2025年18周'!E92)/'2025年18周'!E92</f>
        <v>-0.674</v>
      </c>
      <c r="G92" s="87">
        <f t="shared" si="21"/>
        <v>483</v>
      </c>
      <c r="H92" s="86">
        <f>(G92-'2025年18周'!G92)/'2025年18周'!G92</f>
        <v>0.1002</v>
      </c>
      <c r="I92" s="12">
        <f>SUMIFS(周检修业务统计数据!L:L,周检修业务统计数据!B:B,B92,周检修业务统计数据!C:C,"干箱",周检修业务统计数据!D:D,"COS")*1.06</f>
        <v>2475.153</v>
      </c>
      <c r="J92" s="12">
        <f>SUMIFS(周检修业务统计数据!E:E,周检修业务统计数据!B:B,B92,周检修业务统计数据!C:C,"干箱",周检修业务统计数据!D:D,"&lt;&gt;COS")</f>
        <v>0</v>
      </c>
      <c r="K92" s="12">
        <f>J92-'2025年18周'!J92</f>
        <v>0</v>
      </c>
      <c r="L92" s="85">
        <f>(SUMIFS(周检修业务统计数据!I:I,周检修业务统计数据!B:B,B92,周检修业务统计数据!C:C,"干箱",周检修业务统计数据!D:D,"&lt;&gt;COS")+SUMIFS(周检修业务统计数据!J:J,周检修业务统计数据!B:B,B92,周检修业务统计数据!C:C,"干箱",周检修业务统计数据!D:D,"&lt;&gt;COS"))*1.13++SUMIFS(周检修业务统计数据!L:L,周检修业务统计数据!B:B,B92,周检修业务统计数据!C:C,"干箱",周检修业务统计数据!D:D,"&lt;&gt;COS")*1.06</f>
        <v>0</v>
      </c>
      <c r="M92" s="86" t="e">
        <f>(L92-'2025年18周'!L92)/'2025年18周'!L92</f>
        <v>#DIV/0!</v>
      </c>
      <c r="N92" s="87" t="e">
        <f t="shared" si="22"/>
        <v>#DIV/0!</v>
      </c>
      <c r="O92" s="86" t="e">
        <f>(N92-'2025年18周'!N92)/'2025年18周'!N92</f>
        <v>#DIV/0!</v>
      </c>
      <c r="P92" s="88">
        <f>(SUMIFS(周检修业务统计数据!I:I,周检修业务统计数据!B:B,B92,周检修业务统计数据!C:C,"&lt;&gt;干箱")+SUMIFS(周检修业务统计数据!J:J,周检修业务统计数据!B:B,B92,周检修业务统计数据!C:C,"&lt;&gt;干箱"))*1.13++SUMIFS(周检修业务统计数据!L:L,周检修业务统计数据!B:B,B92,周检修业务统计数据!C:C,"&lt;&gt;干箱")*1.06</f>
        <v>0</v>
      </c>
      <c r="Q92" s="53"/>
      <c r="R92" s="53"/>
      <c r="S92" s="53">
        <f t="shared" si="23"/>
        <v>0</v>
      </c>
      <c r="T92" s="12">
        <f t="shared" si="24"/>
        <v>45</v>
      </c>
      <c r="U92" s="87">
        <f t="shared" si="25"/>
        <v>24230</v>
      </c>
      <c r="V92" s="87" t="e">
        <f t="shared" si="26"/>
        <v>#DIV/0!</v>
      </c>
      <c r="W92" s="12"/>
      <c r="X92" s="144"/>
      <c r="Y92" s="130"/>
      <c r="Z92" s="53"/>
      <c r="AA92" s="53"/>
      <c r="AB92" s="53"/>
      <c r="AC92" s="237"/>
    </row>
    <row r="93" s="164" customFormat="1" ht="18" customHeight="1" spans="1:30">
      <c r="A93" s="11" t="s">
        <v>55</v>
      </c>
      <c r="B93" s="12" t="s">
        <v>65</v>
      </c>
      <c r="C93" s="12">
        <f>SUMIFS(周检修业务统计数据!E:E,周检修业务统计数据!B:B,B93,周检修业务统计数据!C:C,"干箱",周检修业务统计数据!D:D,"COS")</f>
        <v>106</v>
      </c>
      <c r="D93" s="12">
        <f>C93-'2025年18周'!C93</f>
        <v>-439</v>
      </c>
      <c r="E93" s="85">
        <f>(SUMIFS(周检修业务统计数据!I:I,周检修业务统计数据!B:B,B93,周检修业务统计数据!C:C,"干箱",周检修业务统计数据!D:D,"COS")+SUMIFS(周检修业务统计数据!J:J,周检修业务统计数据!B:B,B93,周检修业务统计数据!C:C,"干箱",周检修业务统计数据!D:D,"COS"))*1.13</f>
        <v>29452.46</v>
      </c>
      <c r="F93" s="86">
        <f>(E93-'2025年18周'!E93)/'2025年18周'!E93</f>
        <v>-0.7835</v>
      </c>
      <c r="G93" s="87">
        <f t="shared" si="21"/>
        <v>278</v>
      </c>
      <c r="H93" s="86">
        <f>(G93-'2025年18周'!G93)/'2025年18周'!G93</f>
        <v>0.112</v>
      </c>
      <c r="I93" s="12">
        <f>SUMIFS(周检修业务统计数据!L:L,周检修业务统计数据!B:B,B93,周检修业务统计数据!C:C,"干箱",周检修业务统计数据!D:D,"COS")*1.06</f>
        <v>6010.2848</v>
      </c>
      <c r="J93" s="12">
        <f>SUMIFS(周检修业务统计数据!E:E,周检修业务统计数据!B:B,B93,周检修业务统计数据!C:C,"干箱",周检修业务统计数据!D:D,"&lt;&gt;COS")</f>
        <v>0</v>
      </c>
      <c r="K93" s="12">
        <f>J93-'2025年18周'!J93</f>
        <v>0</v>
      </c>
      <c r="L93" s="85">
        <f>(SUMIFS(周检修业务统计数据!I:I,周检修业务统计数据!B:B,B93,周检修业务统计数据!C:C,"干箱",周检修业务统计数据!D:D,"&lt;&gt;COS")+SUMIFS(周检修业务统计数据!J:J,周检修业务统计数据!B:B,B93,周检修业务统计数据!C:C,"干箱",周检修业务统计数据!D:D,"&lt;&gt;COS"))*1.13++SUMIFS(周检修业务统计数据!L:L,周检修业务统计数据!B:B,B93,周检修业务统计数据!C:C,"干箱",周检修业务统计数据!D:D,"&lt;&gt;COS")*1.06</f>
        <v>0</v>
      </c>
      <c r="M93" s="86" t="e">
        <f>(L93-'2025年18周'!L93)/'2025年18周'!L93</f>
        <v>#DIV/0!</v>
      </c>
      <c r="N93" s="87" t="e">
        <f t="shared" si="22"/>
        <v>#DIV/0!</v>
      </c>
      <c r="O93" s="86" t="e">
        <f>(N93-'2025年18周'!N93)/'2025年18周'!N93</f>
        <v>#DIV/0!</v>
      </c>
      <c r="P93" s="88">
        <f>(SUMIFS(周检修业务统计数据!I:I,周检修业务统计数据!B:B,B93,周检修业务统计数据!C:C,"&lt;&gt;干箱")+SUMIFS(周检修业务统计数据!J:J,周检修业务统计数据!B:B,B93,周检修业务统计数据!C:C,"&lt;&gt;干箱"))*1.13++SUMIFS(周检修业务统计数据!L:L,周检修业务统计数据!B:B,B93,周检修业务统计数据!C:C,"&lt;&gt;干箱")*1.06</f>
        <v>0</v>
      </c>
      <c r="Q93" s="53"/>
      <c r="R93" s="53"/>
      <c r="S93" s="53">
        <f t="shared" si="23"/>
        <v>0</v>
      </c>
      <c r="T93" s="12">
        <f t="shared" si="24"/>
        <v>106</v>
      </c>
      <c r="U93" s="87">
        <f t="shared" si="25"/>
        <v>35463</v>
      </c>
      <c r="V93" s="87" t="e">
        <f t="shared" si="26"/>
        <v>#DIV/0!</v>
      </c>
      <c r="W93" s="12"/>
      <c r="X93" s="144"/>
      <c r="Y93" s="130"/>
      <c r="Z93" s="53"/>
      <c r="AA93" s="53"/>
      <c r="AB93" s="53"/>
      <c r="AC93" s="237"/>
    </row>
    <row r="94" s="164" customFormat="1" ht="18" customHeight="1" spans="1:30">
      <c r="A94" s="11" t="s">
        <v>55</v>
      </c>
      <c r="B94" s="12" t="s">
        <v>66</v>
      </c>
      <c r="C94" s="12">
        <f>SUMIFS(周检修业务统计数据!E:E,周检修业务统计数据!B:B,B94,周检修业务统计数据!C:C,"干箱",周检修业务统计数据!D:D,"COS")</f>
        <v>12</v>
      </c>
      <c r="D94" s="12">
        <f>C94-'2025年18周'!C94</f>
        <v>-69</v>
      </c>
      <c r="E94" s="85">
        <f>(SUMIFS(周检修业务统计数据!I:I,周检修业务统计数据!B:B,B94,周检修业务统计数据!C:C,"干箱",周检修业务统计数据!D:D,"COS")+SUMIFS(周检修业务统计数据!J:J,周检修业务统计数据!B:B,B94,周检修业务统计数据!C:C,"干箱",周检修业务统计数据!D:D,"COS"))*1.13</f>
        <v>5446.57</v>
      </c>
      <c r="F94" s="86">
        <f>(E94-'2025年18周'!E94)/'2025年18周'!E94</f>
        <v>-0.7391</v>
      </c>
      <c r="G94" s="87">
        <f t="shared" si="21"/>
        <v>454</v>
      </c>
      <c r="H94" s="86">
        <f>(G94-'2025年18周'!G94)/'2025年18周'!G94</f>
        <v>0.7597</v>
      </c>
      <c r="I94" s="12">
        <f>SUMIFS(周检修业务统计数据!L:L,周检修业务统计数据!B:B,B94,周检修业务统计数据!C:C,"干箱",周检修业务统计数据!D:D,"COS")*1.06</f>
        <v>0</v>
      </c>
      <c r="J94" s="12">
        <f>SUMIFS(周检修业务统计数据!E:E,周检修业务统计数据!B:B,B94,周检修业务统计数据!C:C,"干箱",周检修业务统计数据!D:D,"&lt;&gt;COS")</f>
        <v>0</v>
      </c>
      <c r="K94" s="12">
        <f>J94-'2025年18周'!J94</f>
        <v>0</v>
      </c>
      <c r="L94" s="85">
        <f>(SUMIFS(周检修业务统计数据!I:I,周检修业务统计数据!B:B,B94,周检修业务统计数据!C:C,"干箱",周检修业务统计数据!D:D,"&lt;&gt;COS")+SUMIFS(周检修业务统计数据!J:J,周检修业务统计数据!B:B,B94,周检修业务统计数据!C:C,"干箱",周检修业务统计数据!D:D,"&lt;&gt;COS"))*1.13++SUMIFS(周检修业务统计数据!L:L,周检修业务统计数据!B:B,B94,周检修业务统计数据!C:C,"干箱",周检修业务统计数据!D:D,"&lt;&gt;COS")*1.06</f>
        <v>0</v>
      </c>
      <c r="M94" s="86" t="e">
        <f>(L94-'2025年18周'!L94)/'2025年18周'!L94</f>
        <v>#DIV/0!</v>
      </c>
      <c r="N94" s="87" t="e">
        <f t="shared" si="22"/>
        <v>#DIV/0!</v>
      </c>
      <c r="O94" s="86" t="e">
        <f>(N94-'2025年18周'!N94)/'2025年18周'!N94</f>
        <v>#DIV/0!</v>
      </c>
      <c r="P94" s="88">
        <f>(SUMIFS(周检修业务统计数据!I:I,周检修业务统计数据!B:B,B94,周检修业务统计数据!C:C,"&lt;&gt;干箱")+SUMIFS(周检修业务统计数据!J:J,周检修业务统计数据!B:B,B94,周检修业务统计数据!C:C,"&lt;&gt;干箱"))*1.13++SUMIFS(周检修业务统计数据!L:L,周检修业务统计数据!B:B,B94,周检修业务统计数据!C:C,"&lt;&gt;干箱")*1.06</f>
        <v>0</v>
      </c>
      <c r="Q94" s="53"/>
      <c r="R94" s="53"/>
      <c r="S94" s="53">
        <f t="shared" si="23"/>
        <v>0</v>
      </c>
      <c r="T94" s="12">
        <f t="shared" si="24"/>
        <v>12</v>
      </c>
      <c r="U94" s="87">
        <f t="shared" si="25"/>
        <v>5447</v>
      </c>
      <c r="V94" s="87" t="e">
        <f t="shared" si="26"/>
        <v>#DIV/0!</v>
      </c>
      <c r="W94" s="12"/>
      <c r="X94" s="144"/>
      <c r="Y94" s="130"/>
      <c r="Z94" s="53"/>
      <c r="AA94" s="53"/>
      <c r="AB94" s="53"/>
      <c r="AC94" s="237" t="s">
        <v>226</v>
      </c>
    </row>
    <row r="95" s="164" customFormat="1" ht="18" customHeight="1" spans="1:30">
      <c r="A95" s="11" t="s">
        <v>55</v>
      </c>
      <c r="B95" s="12" t="s">
        <v>67</v>
      </c>
      <c r="C95" s="12">
        <f>SUMIFS(周检修业务统计数据!E:E,周检修业务统计数据!B:B,B95,周检修业务统计数据!C:C,"干箱",周检修业务统计数据!D:D,"COS")</f>
        <v>3</v>
      </c>
      <c r="D95" s="12">
        <f>C95-'2025年18周'!C95</f>
        <v>-2</v>
      </c>
      <c r="E95" s="85">
        <f>(SUMIFS(周检修业务统计数据!I:I,周检修业务统计数据!B:B,B95,周检修业务统计数据!C:C,"干箱",周检修业务统计数据!D:D,"COS")+SUMIFS(周检修业务统计数据!J:J,周检修业务统计数据!B:B,B95,周检修业务统计数据!C:C,"干箱",周检修业务统计数据!D:D,"COS"))*1.13</f>
        <v>337.2</v>
      </c>
      <c r="F95" s="86">
        <f>(E95-'2025年18周'!E95)/'2025年18周'!E95</f>
        <v>-0.0277</v>
      </c>
      <c r="G95" s="87">
        <f t="shared" si="21"/>
        <v>112</v>
      </c>
      <c r="H95" s="86">
        <f>(G95-'2025年18周'!G95)/'2025年18周'!G95</f>
        <v>0.6232</v>
      </c>
      <c r="I95" s="12">
        <f>SUMIFS(周检修业务统计数据!L:L,周检修业务统计数据!B:B,B95,周检修业务统计数据!C:C,"干箱",周检修业务统计数据!D:D,"COS")*1.06</f>
        <v>165.0102</v>
      </c>
      <c r="J95" s="12">
        <f>SUMIFS(周检修业务统计数据!E:E,周检修业务统计数据!B:B,B95,周检修业务统计数据!C:C,"干箱",周检修业务统计数据!D:D,"&lt;&gt;COS")</f>
        <v>0</v>
      </c>
      <c r="K95" s="12">
        <f>J95-'2025年18周'!J95</f>
        <v>-20</v>
      </c>
      <c r="L95" s="85">
        <f>(SUMIFS(周检修业务统计数据!I:I,周检修业务统计数据!B:B,B95,周检修业务统计数据!C:C,"干箱",周检修业务统计数据!D:D,"&lt;&gt;COS")+SUMIFS(周检修业务统计数据!J:J,周检修业务统计数据!B:B,B95,周检修业务统计数据!C:C,"干箱",周检修业务统计数据!D:D,"&lt;&gt;COS"))*1.13++SUMIFS(周检修业务统计数据!L:L,周检修业务统计数据!B:B,B95,周检修业务统计数据!C:C,"干箱",周检修业务统计数据!D:D,"&lt;&gt;COS")*1.06</f>
        <v>0</v>
      </c>
      <c r="M95" s="86">
        <f>(L95-'2025年18周'!L95)/'2025年18周'!L95</f>
        <v>-1</v>
      </c>
      <c r="N95" s="87" t="e">
        <f t="shared" si="22"/>
        <v>#DIV/0!</v>
      </c>
      <c r="O95" s="86" t="e">
        <f>(N95-'2025年18周'!N95)/'2025年18周'!N95</f>
        <v>#DIV/0!</v>
      </c>
      <c r="P95" s="88">
        <f>(SUMIFS(周检修业务统计数据!I:I,周检修业务统计数据!B:B,B95,周检修业务统计数据!C:C,"&lt;&gt;干箱")+SUMIFS(周检修业务统计数据!J:J,周检修业务统计数据!B:B,B95,周检修业务统计数据!C:C,"&lt;&gt;干箱"))*1.13++SUMIFS(周检修业务统计数据!L:L,周检修业务统计数据!B:B,B95,周检修业务统计数据!C:C,"&lt;&gt;干箱")*1.06</f>
        <v>0</v>
      </c>
      <c r="Q95" s="53"/>
      <c r="R95" s="53"/>
      <c r="S95" s="53">
        <f t="shared" si="23"/>
        <v>0</v>
      </c>
      <c r="T95" s="12">
        <f t="shared" si="24"/>
        <v>3</v>
      </c>
      <c r="U95" s="87">
        <f t="shared" si="25"/>
        <v>502</v>
      </c>
      <c r="V95" s="87" t="e">
        <f t="shared" si="26"/>
        <v>#DIV/0!</v>
      </c>
      <c r="W95" s="12"/>
      <c r="X95" s="144"/>
      <c r="Y95" s="130"/>
      <c r="Z95" s="53"/>
      <c r="AA95" s="53"/>
      <c r="AB95" s="53"/>
      <c r="AC95" s="237"/>
    </row>
    <row r="96" s="164" customFormat="1" ht="18" customHeight="1" spans="1:30">
      <c r="A96" s="11" t="s">
        <v>68</v>
      </c>
      <c r="B96" s="12" t="s">
        <v>69</v>
      </c>
      <c r="C96" s="12">
        <f>SUMIFS(周检修业务统计数据!E:E,周检修业务统计数据!B:B,B96,周检修业务统计数据!C:C,"干箱",周检修业务统计数据!D:D,"COS")</f>
        <v>51</v>
      </c>
      <c r="D96" s="12">
        <f>C96-'2025年18周'!C96</f>
        <v>31</v>
      </c>
      <c r="E96" s="85">
        <f>(SUMIFS(周检修业务统计数据!I:I,周检修业务统计数据!B:B,B96,周检修业务统计数据!C:C,"干箱",周检修业务统计数据!D:D,"COS")+SUMIFS(周检修业务统计数据!J:J,周检修业务统计数据!B:B,B96,周检修业务统计数据!C:C,"干箱",周检修业务统计数据!D:D,"COS"))*1.13</f>
        <v>18134.25</v>
      </c>
      <c r="F96" s="86">
        <f>(E96-'2025年18周'!E96)/'2025年18周'!E96</f>
        <v>1.0583</v>
      </c>
      <c r="G96" s="87">
        <f t="shared" si="21"/>
        <v>356</v>
      </c>
      <c r="H96" s="86">
        <f>(G96-'2025年18周'!G96)/'2025年18周'!G96</f>
        <v>-0.1927</v>
      </c>
      <c r="I96" s="12">
        <f>SUMIFS(周检修业务统计数据!L:L,周检修业务统计数据!B:B,B96,周检修业务统计数据!C:C,"干箱",周检修业务统计数据!D:D,"COS")*1.06</f>
        <v>2825.165</v>
      </c>
      <c r="J96" s="12">
        <f>SUMIFS(周检修业务统计数据!E:E,周检修业务统计数据!B:B,B96,周检修业务统计数据!C:C,"干箱",周检修业务统计数据!D:D,"&lt;&gt;COS")</f>
        <v>0</v>
      </c>
      <c r="K96" s="12">
        <f>J96-'2025年18周'!J96</f>
        <v>0</v>
      </c>
      <c r="L96" s="85">
        <f>(SUMIFS(周检修业务统计数据!I:I,周检修业务统计数据!B:B,B96,周检修业务统计数据!C:C,"干箱",周检修业务统计数据!D:D,"&lt;&gt;COS")+SUMIFS(周检修业务统计数据!J:J,周检修业务统计数据!B:B,B96,周检修业务统计数据!C:C,"干箱",周检修业务统计数据!D:D,"&lt;&gt;COS"))*1.13++SUMIFS(周检修业务统计数据!L:L,周检修业务统计数据!B:B,B96,周检修业务统计数据!C:C,"干箱",周检修业务统计数据!D:D,"&lt;&gt;COS")*1.06</f>
        <v>0</v>
      </c>
      <c r="M96" s="86" t="e">
        <f>(L96-'2025年18周'!L96)/'2025年18周'!L96</f>
        <v>#DIV/0!</v>
      </c>
      <c r="N96" s="87" t="e">
        <f t="shared" si="22"/>
        <v>#DIV/0!</v>
      </c>
      <c r="O96" s="86" t="e">
        <f>(N96-'2025年18周'!N96)/'2025年18周'!N96</f>
        <v>#DIV/0!</v>
      </c>
      <c r="P96" s="88">
        <f>(SUMIFS(周检修业务统计数据!I:I,周检修业务统计数据!B:B,B96,周检修业务统计数据!C:C,"&lt;&gt;干箱")+SUMIFS(周检修业务统计数据!J:J,周检修业务统计数据!B:B,B96,周检修业务统计数据!C:C,"&lt;&gt;干箱"))*1.13++SUMIFS(周检修业务统计数据!L:L,周检修业务统计数据!B:B,B96,周检修业务统计数据!C:C,"&lt;&gt;干箱")*1.06</f>
        <v>0</v>
      </c>
      <c r="Q96" s="53"/>
      <c r="R96" s="53"/>
      <c r="S96" s="53">
        <f t="shared" si="23"/>
        <v>0</v>
      </c>
      <c r="T96" s="12">
        <f t="shared" si="24"/>
        <v>51</v>
      </c>
      <c r="U96" s="87">
        <f t="shared" si="25"/>
        <v>20959</v>
      </c>
      <c r="V96" s="87" t="e">
        <f t="shared" si="26"/>
        <v>#DIV/0!</v>
      </c>
      <c r="W96" s="12"/>
      <c r="X96" s="144"/>
      <c r="Y96" s="130"/>
      <c r="Z96" s="53"/>
      <c r="AA96" s="53"/>
      <c r="AB96" s="53"/>
      <c r="AC96" s="237"/>
    </row>
    <row r="97" s="164" customFormat="1" ht="18" customHeight="1" spans="1:29">
      <c r="A97" s="11" t="s">
        <v>55</v>
      </c>
      <c r="B97" s="12" t="s">
        <v>70</v>
      </c>
      <c r="C97" s="12">
        <f>SUMIFS(周检修业务统计数据!E:E,周检修业务统计数据!B:B,B97,周检修业务统计数据!C:C,"干箱",周检修业务统计数据!D:D,"COS")</f>
        <v>0</v>
      </c>
      <c r="D97" s="12">
        <f>C97-'2025年18周'!C97</f>
        <v>0</v>
      </c>
      <c r="E97" s="85">
        <f>(SUMIFS(周检修业务统计数据!I:I,周检修业务统计数据!B:B,B97,周检修业务统计数据!C:C,"干箱",周检修业务统计数据!D:D,"COS")+SUMIFS(周检修业务统计数据!J:J,周检修业务统计数据!B:B,B97,周检修业务统计数据!C:C,"干箱",周检修业务统计数据!D:D,"COS"))*1.13</f>
        <v>0</v>
      </c>
      <c r="F97" s="86" t="e">
        <f>(E97-'2025年18周'!E97)/'2025年18周'!E97</f>
        <v>#DIV/0!</v>
      </c>
      <c r="G97" s="87" t="e">
        <f t="shared" si="21"/>
        <v>#DIV/0!</v>
      </c>
      <c r="H97" s="86" t="e">
        <f>(G97-'2025年18周'!G97)/'2025年18周'!G97</f>
        <v>#DIV/0!</v>
      </c>
      <c r="I97" s="12">
        <f>SUMIFS(周检修业务统计数据!L:L,周检修业务统计数据!B:B,B97,周检修业务统计数据!C:C,"干箱",周检修业务统计数据!D:D,"COS")*1.06</f>
        <v>0</v>
      </c>
      <c r="J97" s="12">
        <f>SUMIFS(周检修业务统计数据!E:E,周检修业务统计数据!B:B,B97,周检修业务统计数据!C:C,"干箱",周检修业务统计数据!D:D,"&lt;&gt;COS")</f>
        <v>0</v>
      </c>
      <c r="K97" s="12">
        <f>J97-'2025年18周'!J97</f>
        <v>0</v>
      </c>
      <c r="L97" s="85">
        <f>(SUMIFS(周检修业务统计数据!I:I,周检修业务统计数据!B:B,B97,周检修业务统计数据!C:C,"干箱",周检修业务统计数据!D:D,"&lt;&gt;COS")+SUMIFS(周检修业务统计数据!J:J,周检修业务统计数据!B:B,B97,周检修业务统计数据!C:C,"干箱",周检修业务统计数据!D:D,"&lt;&gt;COS"))*1.13++SUMIFS(周检修业务统计数据!L:L,周检修业务统计数据!B:B,B97,周检修业务统计数据!C:C,"干箱",周检修业务统计数据!D:D,"&lt;&gt;COS")*1.06</f>
        <v>0</v>
      </c>
      <c r="M97" s="86" t="e">
        <f>(L97-'2025年18周'!L97)/'2025年18周'!L97</f>
        <v>#DIV/0!</v>
      </c>
      <c r="N97" s="87" t="e">
        <f t="shared" si="22"/>
        <v>#DIV/0!</v>
      </c>
      <c r="O97" s="86" t="e">
        <f>(N97-'2025年18周'!N97)/'2025年18周'!N97</f>
        <v>#DIV/0!</v>
      </c>
      <c r="P97" s="88">
        <f>(SUMIFS(周检修业务统计数据!I:I,周检修业务统计数据!B:B,B97,周检修业务统计数据!C:C,"&lt;&gt;干箱")+SUMIFS(周检修业务统计数据!J:J,周检修业务统计数据!B:B,B97,周检修业务统计数据!C:C,"&lt;&gt;干箱"))*1.13++SUMIFS(周检修业务统计数据!L:L,周检修业务统计数据!B:B,B97,周检修业务统计数据!C:C,"&lt;&gt;干箱")*1.06</f>
        <v>0</v>
      </c>
      <c r="Q97" s="53"/>
      <c r="R97" s="53"/>
      <c r="S97" s="53">
        <f t="shared" si="23"/>
        <v>0</v>
      </c>
      <c r="T97" s="12">
        <f t="shared" si="24"/>
        <v>0</v>
      </c>
      <c r="U97" s="87">
        <f t="shared" si="25"/>
        <v>0</v>
      </c>
      <c r="V97" s="87" t="e">
        <f t="shared" si="26"/>
        <v>#DIV/0!</v>
      </c>
      <c r="W97" s="12"/>
      <c r="X97" s="144"/>
      <c r="Y97" s="130"/>
      <c r="Z97" s="53"/>
      <c r="AA97" s="53"/>
      <c r="AB97" s="53"/>
      <c r="AC97" s="237" t="s">
        <v>227</v>
      </c>
    </row>
    <row r="98" s="164" customFormat="1" ht="18" customHeight="1" spans="1:29">
      <c r="A98" s="11" t="s">
        <v>55</v>
      </c>
      <c r="B98" s="12" t="s">
        <v>71</v>
      </c>
      <c r="C98" s="12">
        <f>SUMIFS(周检修业务统计数据!E:E,周检修业务统计数据!B:B,B98,周检修业务统计数据!C:C,"干箱",周检修业务统计数据!D:D,"COS")</f>
        <v>29</v>
      </c>
      <c r="D98" s="12">
        <f>C98-'2025年18周'!C98</f>
        <v>7</v>
      </c>
      <c r="E98" s="85">
        <f>(SUMIFS(周检修业务统计数据!I:I,周检修业务统计数据!B:B,B98,周检修业务统计数据!C:C,"干箱",周检修业务统计数据!D:D,"COS")+SUMIFS(周检修业务统计数据!J:J,周检修业务统计数据!B:B,B98,周检修业务统计数据!C:C,"干箱",周检修业务统计数据!D:D,"COS"))*1.13</f>
        <v>6997.23</v>
      </c>
      <c r="F98" s="86">
        <f>(E98-'2025年18周'!E98)/'2025年18周'!E98</f>
        <v>0.1612</v>
      </c>
      <c r="G98" s="87">
        <f t="shared" si="21"/>
        <v>241</v>
      </c>
      <c r="H98" s="86">
        <f>(G98-'2025年18周'!G98)/'2025年18周'!G98</f>
        <v>-0.1204</v>
      </c>
      <c r="I98" s="12">
        <f>SUMIFS(周检修业务统计数据!L:L,周检修业务统计数据!B:B,B98,周检修业务统计数据!C:C,"干箱",周检修业务统计数据!D:D,"COS")*1.06</f>
        <v>1655.0734</v>
      </c>
      <c r="J98" s="12">
        <f>SUMIFS(周检修业务统计数据!E:E,周检修业务统计数据!B:B,B98,周检修业务统计数据!C:C,"干箱",周检修业务统计数据!D:D,"&lt;&gt;COS")</f>
        <v>0</v>
      </c>
      <c r="K98" s="12">
        <f>J98-'2025年18周'!J98</f>
        <v>0</v>
      </c>
      <c r="L98" s="85">
        <f>(SUMIFS(周检修业务统计数据!I:I,周检修业务统计数据!B:B,B98,周检修业务统计数据!C:C,"干箱",周检修业务统计数据!D:D,"&lt;&gt;COS")+SUMIFS(周检修业务统计数据!J:J,周检修业务统计数据!B:B,B98,周检修业务统计数据!C:C,"干箱",周检修业务统计数据!D:D,"&lt;&gt;COS"))*1.13++SUMIFS(周检修业务统计数据!L:L,周检修业务统计数据!B:B,B98,周检修业务统计数据!C:C,"干箱",周检修业务统计数据!D:D,"&lt;&gt;COS")*1.06</f>
        <v>0</v>
      </c>
      <c r="M98" s="86" t="e">
        <f>(L98-'2025年18周'!L98)/'2025年18周'!L98</f>
        <v>#DIV/0!</v>
      </c>
      <c r="N98" s="87" t="e">
        <f t="shared" si="22"/>
        <v>#DIV/0!</v>
      </c>
      <c r="O98" s="86" t="e">
        <f>(N98-'2025年18周'!N98)/'2025年18周'!N98</f>
        <v>#DIV/0!</v>
      </c>
      <c r="P98" s="88">
        <f>(SUMIFS(周检修业务统计数据!I:I,周检修业务统计数据!B:B,B98,周检修业务统计数据!C:C,"&lt;&gt;干箱")+SUMIFS(周检修业务统计数据!J:J,周检修业务统计数据!B:B,B98,周检修业务统计数据!C:C,"&lt;&gt;干箱"))*1.13++SUMIFS(周检修业务统计数据!L:L,周检修业务统计数据!B:B,B98,周检修业务统计数据!C:C,"&lt;&gt;干箱")*1.06</f>
        <v>0</v>
      </c>
      <c r="Q98" s="53"/>
      <c r="R98" s="53"/>
      <c r="S98" s="53">
        <f t="shared" si="23"/>
        <v>0</v>
      </c>
      <c r="T98" s="12">
        <f t="shared" si="24"/>
        <v>29</v>
      </c>
      <c r="U98" s="87">
        <f t="shared" si="25"/>
        <v>8652</v>
      </c>
      <c r="V98" s="87" t="e">
        <f t="shared" si="26"/>
        <v>#DIV/0!</v>
      </c>
      <c r="W98" s="12"/>
      <c r="X98" s="144"/>
      <c r="Y98" s="130"/>
      <c r="Z98" s="53"/>
      <c r="AA98" s="53"/>
      <c r="AB98" s="53"/>
      <c r="AC98" s="237"/>
    </row>
    <row r="99" s="164" customFormat="1" ht="15.6" customHeight="1" spans="1:29">
      <c r="A99" s="11" t="s">
        <v>55</v>
      </c>
      <c r="B99" s="12" t="s">
        <v>72</v>
      </c>
      <c r="C99" s="12">
        <f>SUMIFS(周检修业务统计数据!E:E,周检修业务统计数据!B:B,B99,周检修业务统计数据!C:C,"干箱",周检修业务统计数据!D:D,"COS")</f>
        <v>5</v>
      </c>
      <c r="D99" s="12">
        <f>C99-'2025年18周'!C99</f>
        <v>4</v>
      </c>
      <c r="E99" s="85">
        <f>(SUMIFS(周检修业务统计数据!I:I,周检修业务统计数据!B:B,B99,周检修业务统计数据!C:C,"干箱",周检修业务统计数据!D:D,"COS")+SUMIFS(周检修业务统计数据!J:J,周检修业务统计数据!B:B,B99,周检修业务统计数据!C:C,"干箱",周检修业务统计数据!D:D,"COS"))*1.13</f>
        <v>1205.74</v>
      </c>
      <c r="F99" s="86">
        <f>(E99-'2025年18周'!E99)/'2025年18周'!E99</f>
        <v>4.7422</v>
      </c>
      <c r="G99" s="87">
        <f t="shared" si="21"/>
        <v>241</v>
      </c>
      <c r="H99" s="86">
        <f>(G99-'2025年18周'!G99)/'2025年18周'!G99</f>
        <v>0.1476</v>
      </c>
      <c r="I99" s="12">
        <f>SUMIFS(周检修业务统计数据!L:L,周检修业务统计数据!B:B,B99,周检修业务统计数据!C:C,"干箱",周检修业务统计数据!D:D,"COS")*1.06</f>
        <v>374.975</v>
      </c>
      <c r="J99" s="12">
        <f>SUMIFS(周检修业务统计数据!E:E,周检修业务统计数据!B:B,B99,周检修业务统计数据!C:C,"干箱",周检修业务统计数据!D:D,"&lt;&gt;COS")</f>
        <v>0</v>
      </c>
      <c r="K99" s="12">
        <f>J99-'2025年18周'!J99</f>
        <v>0</v>
      </c>
      <c r="L99" s="85">
        <f>(SUMIFS(周检修业务统计数据!I:I,周检修业务统计数据!B:B,B99,周检修业务统计数据!C:C,"干箱",周检修业务统计数据!D:D,"&lt;&gt;COS")+SUMIFS(周检修业务统计数据!J:J,周检修业务统计数据!B:B,B99,周检修业务统计数据!C:C,"干箱",周检修业务统计数据!D:D,"&lt;&gt;COS"))*1.13++SUMIFS(周检修业务统计数据!L:L,周检修业务统计数据!B:B,B99,周检修业务统计数据!C:C,"干箱",周检修业务统计数据!D:D,"&lt;&gt;COS")*1.06</f>
        <v>0</v>
      </c>
      <c r="M99" s="86" t="e">
        <f>(L99-'2025年18周'!L99)/'2025年18周'!L99</f>
        <v>#DIV/0!</v>
      </c>
      <c r="N99" s="87" t="e">
        <f t="shared" si="22"/>
        <v>#DIV/0!</v>
      </c>
      <c r="O99" s="86" t="e">
        <f>(N99-'2025年18周'!N99)/'2025年18周'!N99</f>
        <v>#DIV/0!</v>
      </c>
      <c r="P99" s="88">
        <f>(SUMIFS(周检修业务统计数据!I:I,周检修业务统计数据!B:B,B99,周检修业务统计数据!C:C,"&lt;&gt;干箱")+SUMIFS(周检修业务统计数据!J:J,周检修业务统计数据!B:B,B99,周检修业务统计数据!C:C,"&lt;&gt;干箱"))*1.13++SUMIFS(周检修业务统计数据!L:L,周检修业务统计数据!B:B,B99,周检修业务统计数据!C:C,"&lt;&gt;干箱")*1.06</f>
        <v>0</v>
      </c>
      <c r="Q99" s="53"/>
      <c r="R99" s="53"/>
      <c r="S99" s="53">
        <f t="shared" si="23"/>
        <v>0</v>
      </c>
      <c r="T99" s="12">
        <f t="shared" si="24"/>
        <v>5</v>
      </c>
      <c r="U99" s="87">
        <f t="shared" si="25"/>
        <v>1581</v>
      </c>
      <c r="V99" s="87" t="e">
        <f t="shared" si="26"/>
        <v>#DIV/0!</v>
      </c>
      <c r="W99" s="12"/>
      <c r="X99" s="144"/>
      <c r="Y99" s="130"/>
      <c r="Z99" s="53"/>
      <c r="AA99" s="53"/>
      <c r="AB99" s="53"/>
      <c r="AC99" s="237"/>
    </row>
    <row r="100" s="164" customFormat="1" ht="15.6" customHeight="1" spans="1:29">
      <c r="A100" s="11" t="s">
        <v>55</v>
      </c>
      <c r="B100" s="12" t="s">
        <v>73</v>
      </c>
      <c r="C100" s="12">
        <f>SUMIFS(周检修业务统计数据!E:E,周检修业务统计数据!B:B,B100,周检修业务统计数据!C:C,"干箱",周检修业务统计数据!D:D,"COS")</f>
        <v>0</v>
      </c>
      <c r="D100" s="12">
        <f>C100-'2025年18周'!C100</f>
        <v>0</v>
      </c>
      <c r="E100" s="85">
        <f>(SUMIFS(周检修业务统计数据!I:I,周检修业务统计数据!B:B,B100,周检修业务统计数据!C:C,"干箱",周检修业务统计数据!D:D,"COS")+SUMIFS(周检修业务统计数据!J:J,周检修业务统计数据!B:B,B100,周检修业务统计数据!C:C,"干箱",周检修业务统计数据!D:D,"COS"))*1.13</f>
        <v>0</v>
      </c>
      <c r="F100" s="86" t="e">
        <f>(E100-'2025年18周'!E100)/'2025年18周'!E100</f>
        <v>#DIV/0!</v>
      </c>
      <c r="G100" s="87" t="e">
        <f t="shared" si="21"/>
        <v>#DIV/0!</v>
      </c>
      <c r="H100" s="86" t="e">
        <f>(G100-'2025年18周'!G100)/'2025年18周'!G100</f>
        <v>#DIV/0!</v>
      </c>
      <c r="I100" s="12">
        <f>SUMIFS(周检修业务统计数据!L:L,周检修业务统计数据!B:B,B100,周检修业务统计数据!C:C,"干箱",周检修业务统计数据!D:D,"COS")*1.06</f>
        <v>0</v>
      </c>
      <c r="J100" s="12">
        <f>SUMIFS(周检修业务统计数据!E:E,周检修业务统计数据!B:B,B100,周检修业务统计数据!C:C,"干箱",周检修业务统计数据!D:D,"&lt;&gt;COS")</f>
        <v>0</v>
      </c>
      <c r="K100" s="12">
        <f>J100-'2025年18周'!J100</f>
        <v>0</v>
      </c>
      <c r="L100" s="85">
        <f>(SUMIFS(周检修业务统计数据!I:I,周检修业务统计数据!B:B,B100,周检修业务统计数据!C:C,"干箱",周检修业务统计数据!D:D,"&lt;&gt;COS")+SUMIFS(周检修业务统计数据!J:J,周检修业务统计数据!B:B,B100,周检修业务统计数据!C:C,"干箱",周检修业务统计数据!D:D,"&lt;&gt;COS"))*1.13++SUMIFS(周检修业务统计数据!L:L,周检修业务统计数据!B:B,B100,周检修业务统计数据!C:C,"干箱",周检修业务统计数据!D:D,"&lt;&gt;COS")*1.06</f>
        <v>0</v>
      </c>
      <c r="M100" s="86" t="e">
        <f>(L100-'2025年18周'!L100)/'2025年18周'!L100</f>
        <v>#DIV/0!</v>
      </c>
      <c r="N100" s="87" t="e">
        <f t="shared" si="22"/>
        <v>#DIV/0!</v>
      </c>
      <c r="O100" s="86" t="e">
        <f>(N100-'2025年18周'!N100)/'2025年18周'!N100</f>
        <v>#DIV/0!</v>
      </c>
      <c r="P100" s="88">
        <f>(SUMIFS(周检修业务统计数据!I:I,周检修业务统计数据!B:B,B100,周检修业务统计数据!C:C,"&lt;&gt;干箱")+SUMIFS(周检修业务统计数据!J:J,周检修业务统计数据!B:B,B100,周检修业务统计数据!C:C,"&lt;&gt;干箱"))*1.13++SUMIFS(周检修业务统计数据!L:L,周检修业务统计数据!B:B,B100,周检修业务统计数据!C:C,"&lt;&gt;干箱")*1.06</f>
        <v>0</v>
      </c>
      <c r="Q100" s="53"/>
      <c r="R100" s="53"/>
      <c r="S100" s="53">
        <f t="shared" si="23"/>
        <v>0</v>
      </c>
      <c r="T100" s="12">
        <f t="shared" si="24"/>
        <v>0</v>
      </c>
      <c r="U100" s="87">
        <f t="shared" si="25"/>
        <v>0</v>
      </c>
      <c r="V100" s="87" t="e">
        <f t="shared" si="26"/>
        <v>#DIV/0!</v>
      </c>
      <c r="W100" s="12"/>
      <c r="X100" s="144"/>
      <c r="Y100" s="130"/>
      <c r="Z100" s="53"/>
      <c r="AA100" s="53"/>
      <c r="AB100" s="53"/>
      <c r="AC100" s="237" t="s">
        <v>228</v>
      </c>
    </row>
    <row r="101" s="164" customFormat="1" ht="15.6" customHeight="1" spans="1:29">
      <c r="A101" s="11" t="s">
        <v>55</v>
      </c>
      <c r="B101" s="12" t="s">
        <v>74</v>
      </c>
      <c r="C101" s="12">
        <f>SUMIFS(周检修业务统计数据!E:E,周检修业务统计数据!B:B,B101,周检修业务统计数据!C:C,"干箱",周检修业务统计数据!D:D,"COS")</f>
        <v>29</v>
      </c>
      <c r="D101" s="12">
        <f>C101-'2025年18周'!C101</f>
        <v>-40</v>
      </c>
      <c r="E101" s="85">
        <f>(SUMIFS(周检修业务统计数据!I:I,周检修业务统计数据!B:B,B101,周检修业务统计数据!C:C,"干箱",周检修业务统计数据!D:D,"COS")+SUMIFS(周检修业务统计数据!J:J,周检修业务统计数据!B:B,B101,周检修业务统计数据!C:C,"干箱",周检修业务统计数据!D:D,"COS"))*1.13</f>
        <v>10338.99</v>
      </c>
      <c r="F101" s="86">
        <f>(E101-'2025年18周'!E101)/'2025年18周'!E101</f>
        <v>-0.6141</v>
      </c>
      <c r="G101" s="87">
        <f t="shared" si="21"/>
        <v>357</v>
      </c>
      <c r="H101" s="86">
        <f>(G101-'2025年18周'!G101)/'2025年18周'!G101</f>
        <v>-0.0799</v>
      </c>
      <c r="I101" s="12">
        <f>SUMIFS(周检修业务统计数据!L:L,周检修业务统计数据!B:B,B101,周检修业务统计数据!C:C,"干箱",周检修业务统计数据!D:D,"COS")*1.06</f>
        <v>1595.0986</v>
      </c>
      <c r="J101" s="12">
        <f>SUMIFS(周检修业务统计数据!E:E,周检修业务统计数据!B:B,B101,周检修业务统计数据!C:C,"干箱",周检修业务统计数据!D:D,"&lt;&gt;COS")</f>
        <v>0</v>
      </c>
      <c r="K101" s="12">
        <f>J101-'2025年18周'!J101</f>
        <v>0</v>
      </c>
      <c r="L101" s="85">
        <f>(SUMIFS(周检修业务统计数据!I:I,周检修业务统计数据!B:B,B101,周检修业务统计数据!C:C,"干箱",周检修业务统计数据!D:D,"&lt;&gt;COS")+SUMIFS(周检修业务统计数据!J:J,周检修业务统计数据!B:B,B101,周检修业务统计数据!C:C,"干箱",周检修业务统计数据!D:D,"&lt;&gt;COS"))*1.13++SUMIFS(周检修业务统计数据!L:L,周检修业务统计数据!B:B,B101,周检修业务统计数据!C:C,"干箱",周检修业务统计数据!D:D,"&lt;&gt;COS")*1.06</f>
        <v>0</v>
      </c>
      <c r="M101" s="86" t="e">
        <f>(L101-'2025年18周'!L101)/'2025年18周'!L101</f>
        <v>#DIV/0!</v>
      </c>
      <c r="N101" s="87" t="e">
        <f t="shared" si="22"/>
        <v>#DIV/0!</v>
      </c>
      <c r="O101" s="86" t="e">
        <f>(N101-'2025年18周'!N101)/'2025年18周'!N101</f>
        <v>#DIV/0!</v>
      </c>
      <c r="P101" s="88">
        <f>(SUMIFS(周检修业务统计数据!I:I,周检修业务统计数据!B:B,B101,周检修业务统计数据!C:C,"&lt;&gt;干箱")+SUMIFS(周检修业务统计数据!J:J,周检修业务统计数据!B:B,B101,周检修业务统计数据!C:C,"&lt;&gt;干箱"))*1.13++SUMIFS(周检修业务统计数据!L:L,周检修业务统计数据!B:B,B101,周检修业务统计数据!C:C,"&lt;&gt;干箱")*1.06</f>
        <v>0</v>
      </c>
      <c r="Q101" s="53"/>
      <c r="R101" s="53"/>
      <c r="S101" s="53">
        <f t="shared" si="23"/>
        <v>0</v>
      </c>
      <c r="T101" s="12">
        <f t="shared" si="24"/>
        <v>29</v>
      </c>
      <c r="U101" s="87">
        <f t="shared" si="25"/>
        <v>11934</v>
      </c>
      <c r="V101" s="87" t="e">
        <f t="shared" si="26"/>
        <v>#DIV/0!</v>
      </c>
      <c r="W101" s="12"/>
      <c r="X101" s="144"/>
      <c r="Y101" s="130"/>
      <c r="Z101" s="53"/>
      <c r="AA101" s="53"/>
      <c r="AB101" s="53"/>
      <c r="AC101" s="237" t="s">
        <v>244</v>
      </c>
    </row>
    <row r="102" s="164" customFormat="1" ht="15.6" customHeight="1" spans="1:29">
      <c r="A102" s="11" t="s">
        <v>55</v>
      </c>
      <c r="B102" s="12" t="s">
        <v>75</v>
      </c>
      <c r="C102" s="12">
        <f>SUMIFS(周检修业务统计数据!E:E,周检修业务统计数据!B:B,B102,周检修业务统计数据!C:C,"干箱",周检修业务统计数据!D:D,"COS")</f>
        <v>24</v>
      </c>
      <c r="D102" s="12">
        <f>C102-'2025年18周'!C102</f>
        <v>-99</v>
      </c>
      <c r="E102" s="85">
        <f>(SUMIFS(周检修业务统计数据!I:I,周检修业务统计数据!B:B,B102,周检修业务统计数据!C:C,"干箱",周检修业务统计数据!D:D,"COS")+SUMIFS(周检修业务统计数据!J:J,周检修业务统计数据!B:B,B102,周检修业务统计数据!C:C,"干箱",周检修业务统计数据!D:D,"COS"))*1.13</f>
        <v>3239.6</v>
      </c>
      <c r="F102" s="86">
        <f>(E102-'2025年18周'!E102)/'2025年18周'!E102</f>
        <v>-0.8151</v>
      </c>
      <c r="G102" s="87">
        <f t="shared" si="21"/>
        <v>135</v>
      </c>
      <c r="H102" s="86">
        <f>(G102-'2025年18周'!G102)/'2025年18周'!G102</f>
        <v>-0.0493</v>
      </c>
      <c r="I102" s="12">
        <f>SUMIFS(周检修业务统计数据!L:L,周检修业务统计数据!B:B,B102,周检修业务统计数据!C:C,"干箱",周检修业务统计数据!D:D,"COS")*1.06</f>
        <v>1799.88</v>
      </c>
      <c r="J102" s="12">
        <f>SUMIFS(周检修业务统计数据!E:E,周检修业务统计数据!B:B,B102,周检修业务统计数据!C:C,"干箱",周检修业务统计数据!D:D,"&lt;&gt;COS")</f>
        <v>0</v>
      </c>
      <c r="K102" s="12">
        <f>J102-'2025年18周'!J102</f>
        <v>0</v>
      </c>
      <c r="L102" s="85">
        <f>(SUMIFS(周检修业务统计数据!I:I,周检修业务统计数据!B:B,B102,周检修业务统计数据!C:C,"干箱",周检修业务统计数据!D:D,"&lt;&gt;COS")+SUMIFS(周检修业务统计数据!J:J,周检修业务统计数据!B:B,B102,周检修业务统计数据!C:C,"干箱",周检修业务统计数据!D:D,"&lt;&gt;COS"))*1.13++SUMIFS(周检修业务统计数据!L:L,周检修业务统计数据!B:B,B102,周检修业务统计数据!C:C,"干箱",周检修业务统计数据!D:D,"&lt;&gt;COS")*1.06</f>
        <v>0</v>
      </c>
      <c r="M102" s="86" t="e">
        <f>(L102-'2025年18周'!L102)/'2025年18周'!L102</f>
        <v>#DIV/0!</v>
      </c>
      <c r="N102" s="87" t="e">
        <f t="shared" si="22"/>
        <v>#DIV/0!</v>
      </c>
      <c r="O102" s="86" t="e">
        <f>(N102-'2025年18周'!N102)/'2025年18周'!N102</f>
        <v>#DIV/0!</v>
      </c>
      <c r="P102" s="88">
        <f>(SUMIFS(周检修业务统计数据!I:I,周检修业务统计数据!B:B,B102,周检修业务统计数据!C:C,"&lt;&gt;干箱")+SUMIFS(周检修业务统计数据!J:J,周检修业务统计数据!B:B,B102,周检修业务统计数据!C:C,"&lt;&gt;干箱"))*1.13++SUMIFS(周检修业务统计数据!L:L,周检修业务统计数据!B:B,B102,周检修业务统计数据!C:C,"&lt;&gt;干箱")*1.06</f>
        <v>794.5</v>
      </c>
      <c r="Q102" s="53"/>
      <c r="R102" s="53"/>
      <c r="S102" s="53">
        <f t="shared" si="23"/>
        <v>0</v>
      </c>
      <c r="T102" s="12">
        <f t="shared" si="24"/>
        <v>24</v>
      </c>
      <c r="U102" s="87">
        <f t="shared" si="25"/>
        <v>5834</v>
      </c>
      <c r="V102" s="87" t="e">
        <f t="shared" si="26"/>
        <v>#DIV/0!</v>
      </c>
      <c r="W102" s="12"/>
      <c r="X102" s="144"/>
      <c r="Y102" s="130"/>
      <c r="Z102" s="53"/>
      <c r="AA102" s="53"/>
      <c r="AB102" s="53"/>
      <c r="AC102" s="237"/>
    </row>
    <row r="103" ht="15.6" customHeight="1" spans="1:29">
      <c r="A103" s="10" t="s">
        <v>76</v>
      </c>
      <c r="B103" s="6" t="s">
        <v>77</v>
      </c>
      <c r="C103" s="6">
        <f>SUMIFS(周检修业务统计数据!E:E,周检修业务统计数据!B:B,B103,周检修业务统计数据!C:C,"干箱",周检修业务统计数据!D:D,"COS")</f>
        <v>0</v>
      </c>
      <c r="D103" s="6">
        <f>C103-'2025年18周'!C103</f>
        <v>0</v>
      </c>
      <c r="E103" s="75">
        <f>(SUMIFS(周检修业务统计数据!I:I,周检修业务统计数据!B:B,B103,周检修业务统计数据!C:C,"干箱",周检修业务统计数据!D:D,"COS")+SUMIFS(周检修业务统计数据!J:J,周检修业务统计数据!B:B,B103,周检修业务统计数据!C:C,"干箱",周检修业务统计数据!D:D,"COS"))*1.13</f>
        <v>0</v>
      </c>
      <c r="F103" s="76" t="e">
        <f>(E103-'2025年18周'!E103)/'2025年18周'!E103</f>
        <v>#DIV/0!</v>
      </c>
      <c r="G103" s="77" t="e">
        <f t="shared" si="21"/>
        <v>#DIV/0!</v>
      </c>
      <c r="H103" s="76" t="e">
        <f>(G103-'2025年18周'!G103)/'2025年18周'!G103</f>
        <v>#DIV/0!</v>
      </c>
      <c r="I103" s="6">
        <f>SUMIFS(周检修业务统计数据!L:L,周检修业务统计数据!B:B,B103,周检修业务统计数据!C:C,"干箱",周检修业务统计数据!D:D,"COS")*1.06</f>
        <v>0</v>
      </c>
      <c r="J103" s="6">
        <f>SUMIFS(周检修业务统计数据!E:E,周检修业务统计数据!B:B,B103,周检修业务统计数据!C:C,"干箱",周检修业务统计数据!D:D,"&lt;&gt;COS")</f>
        <v>0</v>
      </c>
      <c r="K103" s="6">
        <f>J103-'2025年18周'!J103</f>
        <v>0</v>
      </c>
      <c r="L103" s="75">
        <f>(SUMIFS(周检修业务统计数据!I:I,周检修业务统计数据!B:B,B103,周检修业务统计数据!C:C,"干箱",周检修业务统计数据!D:D,"&lt;&gt;COS")+SUMIFS(周检修业务统计数据!J:J,周检修业务统计数据!B:B,B103,周检修业务统计数据!C:C,"干箱",周检修业务统计数据!D:D,"&lt;&gt;COS"))*1.13++SUMIFS(周检修业务统计数据!L:L,周检修业务统计数据!B:B,B103,周检修业务统计数据!C:C,"干箱",周检修业务统计数据!D:D,"&lt;&gt;COS")*1.06</f>
        <v>0</v>
      </c>
      <c r="M103" s="76" t="e">
        <f>(L103-'2025年18周'!L103)/'2025年18周'!L103</f>
        <v>#DIV/0!</v>
      </c>
      <c r="N103" s="77" t="e">
        <f t="shared" si="22"/>
        <v>#DIV/0!</v>
      </c>
      <c r="O103" s="76" t="e">
        <f>(N103-'2025年18周'!N103)/'2025年18周'!N103</f>
        <v>#DIV/0!</v>
      </c>
      <c r="P103" s="78">
        <f>(SUMIFS(周检修业务统计数据!I:I,周检修业务统计数据!B:B,B103,周检修业务统计数据!C:C,"&lt;&gt;干箱")+SUMIFS(周检修业务统计数据!J:J,周检修业务统计数据!B:B,B103,周检修业务统计数据!C:C,"&lt;&gt;干箱"))*1.13++SUMIFS(周检修业务统计数据!L:L,周检修业务统计数据!B:B,B103,周检修业务统计数据!C:C,"&lt;&gt;干箱")*1.06</f>
        <v>0</v>
      </c>
      <c r="Q103" s="3"/>
      <c r="R103" s="3"/>
      <c r="S103" s="3">
        <f t="shared" si="23"/>
        <v>0</v>
      </c>
      <c r="T103" s="238">
        <f t="shared" si="24"/>
        <v>0</v>
      </c>
      <c r="U103" s="77">
        <f t="shared" si="25"/>
        <v>0</v>
      </c>
      <c r="V103" s="77" t="e">
        <f t="shared" si="26"/>
        <v>#DIV/0!</v>
      </c>
      <c r="W103" s="6"/>
      <c r="X103" s="146"/>
      <c r="Y103" s="130"/>
      <c r="Z103" s="3"/>
      <c r="AA103" s="3"/>
      <c r="AB103" s="3"/>
      <c r="AC103" s="4"/>
    </row>
    <row r="104" ht="15.6" customHeight="1" spans="1:29">
      <c r="A104" s="10" t="s">
        <v>76</v>
      </c>
      <c r="B104" s="6" t="s">
        <v>78</v>
      </c>
      <c r="C104" s="6">
        <f>SUMIFS(周检修业务统计数据!E:E,周检修业务统计数据!B:B,B104,周检修业务统计数据!C:C,"干箱",周检修业务统计数据!D:D,"COS")</f>
        <v>0</v>
      </c>
      <c r="D104" s="6">
        <f>C104-'2025年18周'!C104</f>
        <v>0</v>
      </c>
      <c r="E104" s="75">
        <f>(SUMIFS(周检修业务统计数据!I:I,周检修业务统计数据!B:B,B104,周检修业务统计数据!C:C,"干箱",周检修业务统计数据!D:D,"COS")+SUMIFS(周检修业务统计数据!J:J,周检修业务统计数据!B:B,B104,周检修业务统计数据!C:C,"干箱",周检修业务统计数据!D:D,"COS"))*1.13</f>
        <v>0</v>
      </c>
      <c r="F104" s="76" t="e">
        <f>(E104-'2025年18周'!E104)/'2025年18周'!E104</f>
        <v>#DIV/0!</v>
      </c>
      <c r="G104" s="77" t="e">
        <f t="shared" si="21"/>
        <v>#DIV/0!</v>
      </c>
      <c r="H104" s="76" t="e">
        <f>(G104-'2025年18周'!G104)/'2025年18周'!G104</f>
        <v>#DIV/0!</v>
      </c>
      <c r="I104" s="6">
        <f>SUMIFS(周检修业务统计数据!L:L,周检修业务统计数据!B:B,B104,周检修业务统计数据!C:C,"干箱",周检修业务统计数据!D:D,"COS")*1.06</f>
        <v>0</v>
      </c>
      <c r="J104" s="6">
        <f>SUMIFS(周检修业务统计数据!E:E,周检修业务统计数据!B:B,B104,周检修业务统计数据!C:C,"干箱",周检修业务统计数据!D:D,"&lt;&gt;COS")</f>
        <v>0</v>
      </c>
      <c r="K104" s="6">
        <f>J104-'2025年18周'!J104</f>
        <v>0</v>
      </c>
      <c r="L104" s="75">
        <f>(SUMIFS(周检修业务统计数据!I:I,周检修业务统计数据!B:B,B104,周检修业务统计数据!C:C,"干箱",周检修业务统计数据!D:D,"&lt;&gt;COS")+SUMIFS(周检修业务统计数据!J:J,周检修业务统计数据!B:B,B104,周检修业务统计数据!C:C,"干箱",周检修业务统计数据!D:D,"&lt;&gt;COS"))*1.13++SUMIFS(周检修业务统计数据!L:L,周检修业务统计数据!B:B,B104,周检修业务统计数据!C:C,"干箱",周检修业务统计数据!D:D,"&lt;&gt;COS")*1.06</f>
        <v>0</v>
      </c>
      <c r="M104" s="76" t="e">
        <f>(L104-'2025年18周'!L104)/'2025年18周'!L104</f>
        <v>#DIV/0!</v>
      </c>
      <c r="N104" s="77" t="e">
        <f t="shared" si="22"/>
        <v>#DIV/0!</v>
      </c>
      <c r="O104" s="76" t="e">
        <f>(N104-'2025年18周'!N104)/'2025年18周'!N104</f>
        <v>#DIV/0!</v>
      </c>
      <c r="P104" s="78">
        <f>(SUMIFS(周检修业务统计数据!I:I,周检修业务统计数据!B:B,B104,周检修业务统计数据!C:C,"&lt;&gt;干箱")+SUMIFS(周检修业务统计数据!J:J,周检修业务统计数据!B:B,B104,周检修业务统计数据!C:C,"&lt;&gt;干箱"))*1.13++SUMIFS(周检修业务统计数据!L:L,周检修业务统计数据!B:B,B104,周检修业务统计数据!C:C,"&lt;&gt;干箱")*1.06</f>
        <v>0</v>
      </c>
      <c r="Q104" s="3"/>
      <c r="R104" s="3"/>
      <c r="S104" s="3">
        <f t="shared" si="23"/>
        <v>0</v>
      </c>
      <c r="T104" s="238">
        <f t="shared" si="24"/>
        <v>0</v>
      </c>
      <c r="U104" s="77">
        <f t="shared" si="25"/>
        <v>0</v>
      </c>
      <c r="V104" s="77" t="e">
        <f t="shared" si="26"/>
        <v>#DIV/0!</v>
      </c>
      <c r="W104" s="6"/>
      <c r="X104" s="146"/>
      <c r="Y104" s="130"/>
      <c r="Z104" s="3"/>
      <c r="AA104" s="3"/>
      <c r="AB104" s="3"/>
      <c r="AC104" s="4"/>
    </row>
    <row r="105" ht="15.6" customHeight="1" spans="1:29">
      <c r="A105" s="10" t="s">
        <v>76</v>
      </c>
      <c r="B105" s="6" t="s">
        <v>79</v>
      </c>
      <c r="C105" s="6">
        <f>SUMIFS(周检修业务统计数据!E:E,周检修业务统计数据!B:B,B105,周检修业务统计数据!C:C,"干箱",周检修业务统计数据!D:D,"COS")</f>
        <v>108</v>
      </c>
      <c r="D105" s="6">
        <f>C105-'2025年18周'!C105</f>
        <v>108</v>
      </c>
      <c r="E105" s="75">
        <f>(SUMIFS(周检修业务统计数据!I:I,周检修业务统计数据!B:B,B105,周检修业务统计数据!C:C,"干箱",周检修业务统计数据!D:D,"COS")+SUMIFS(周检修业务统计数据!J:J,周检修业务统计数据!B:B,B105,周检修业务统计数据!C:C,"干箱",周检修业务统计数据!D:D,"COS"))*1.13</f>
        <v>40053.16</v>
      </c>
      <c r="F105" s="76" t="e">
        <f>(E105-'2025年18周'!E105)/'2025年18周'!E105</f>
        <v>#DIV/0!</v>
      </c>
      <c r="G105" s="77">
        <f t="shared" si="21"/>
        <v>371</v>
      </c>
      <c r="H105" s="76" t="e">
        <f>(G105-'2025年18周'!G105)/'2025年18周'!G105</f>
        <v>#DIV/0!</v>
      </c>
      <c r="I105" s="6">
        <f>SUMIFS(周检修业务统计数据!L:L,周检修业务统计数据!B:B,B105,周检修业务统计数据!C:C,"干箱",周检修业务统计数据!D:D,"COS")*1.06</f>
        <v>5940.3672</v>
      </c>
      <c r="J105" s="6">
        <f>SUMIFS(周检修业务统计数据!E:E,周检修业务统计数据!B:B,B105,周检修业务统计数据!C:C,"干箱",周检修业务统计数据!D:D,"&lt;&gt;COS")</f>
        <v>0</v>
      </c>
      <c r="K105" s="6">
        <f>J105-'2025年18周'!J105</f>
        <v>0</v>
      </c>
      <c r="L105" s="75">
        <f>(SUMIFS(周检修业务统计数据!I:I,周检修业务统计数据!B:B,B105,周检修业务统计数据!C:C,"干箱",周检修业务统计数据!D:D,"&lt;&gt;COS")+SUMIFS(周检修业务统计数据!J:J,周检修业务统计数据!B:B,B105,周检修业务统计数据!C:C,"干箱",周检修业务统计数据!D:D,"&lt;&gt;COS"))*1.13++SUMIFS(周检修业务统计数据!L:L,周检修业务统计数据!B:B,B105,周检修业务统计数据!C:C,"干箱",周检修业务统计数据!D:D,"&lt;&gt;COS")*1.06</f>
        <v>0</v>
      </c>
      <c r="M105" s="76" t="e">
        <f>(L105-'2025年18周'!L105)/'2025年18周'!L105</f>
        <v>#DIV/0!</v>
      </c>
      <c r="N105" s="77" t="e">
        <f t="shared" si="22"/>
        <v>#DIV/0!</v>
      </c>
      <c r="O105" s="76" t="e">
        <f>(N105-'2025年18周'!N105)/'2025年18周'!N105</f>
        <v>#DIV/0!</v>
      </c>
      <c r="P105" s="78">
        <f>(SUMIFS(周检修业务统计数据!I:I,周检修业务统计数据!B:B,B105,周检修业务统计数据!C:C,"&lt;&gt;干箱")+SUMIFS(周检修业务统计数据!J:J,周检修业务统计数据!B:B,B105,周检修业务统计数据!C:C,"&lt;&gt;干箱"))*1.13++SUMIFS(周检修业务统计数据!L:L,周检修业务统计数据!B:B,B105,周检修业务统计数据!C:C,"&lt;&gt;干箱")*1.06</f>
        <v>158.6</v>
      </c>
      <c r="Q105" s="3"/>
      <c r="R105" s="3"/>
      <c r="S105" s="3">
        <f t="shared" si="23"/>
        <v>0</v>
      </c>
      <c r="T105" s="238">
        <f t="shared" si="24"/>
        <v>108</v>
      </c>
      <c r="U105" s="77">
        <f t="shared" si="25"/>
        <v>46152</v>
      </c>
      <c r="V105" s="77" t="e">
        <f t="shared" si="26"/>
        <v>#DIV/0!</v>
      </c>
      <c r="W105" s="6"/>
      <c r="X105" s="146"/>
      <c r="Y105" s="130"/>
      <c r="Z105" s="3"/>
      <c r="AA105" s="3"/>
      <c r="AB105" s="3"/>
      <c r="AC105" s="4" t="s">
        <v>230</v>
      </c>
    </row>
    <row r="106" ht="15.6" customHeight="1" spans="1:29">
      <c r="A106" s="10" t="s">
        <v>76</v>
      </c>
      <c r="B106" s="6" t="s">
        <v>80</v>
      </c>
      <c r="C106" s="6">
        <f>SUMIFS(周检修业务统计数据!E:E,周检修业务统计数据!B:B,B106,周检修业务统计数据!C:C,"干箱",周检修业务统计数据!D:D,"COS")</f>
        <v>151</v>
      </c>
      <c r="D106" s="6">
        <f>C106-'2025年18周'!C106</f>
        <v>-66</v>
      </c>
      <c r="E106" s="75">
        <f>(SUMIFS(周检修业务统计数据!I:I,周检修业务统计数据!B:B,B106,周检修业务统计数据!C:C,"干箱",周检修业务统计数据!D:D,"COS")+SUMIFS(周检修业务统计数据!J:J,周检修业务统计数据!B:B,B106,周检修业务统计数据!C:C,"干箱",周检修业务统计数据!D:D,"COS"))*1.13</f>
        <v>43425.7</v>
      </c>
      <c r="F106" s="76">
        <f>(E106-'2025年18周'!E106)/'2025年18周'!E106</f>
        <v>-0.1953</v>
      </c>
      <c r="G106" s="77">
        <f t="shared" si="21"/>
        <v>288</v>
      </c>
      <c r="H106" s="76">
        <f>(G106-'2025年18周'!G106)/'2025年18周'!G106</f>
        <v>0.1566</v>
      </c>
      <c r="I106" s="6">
        <f>SUMIFS(周检修业务统计数据!L:L,周检修业务统计数据!B:B,B106,周检修业务统计数据!C:C,"干箱",周检修业务统计数据!D:D,"COS")*1.06</f>
        <v>8305.5134</v>
      </c>
      <c r="J106" s="6">
        <f>SUMIFS(周检修业务统计数据!E:E,周检修业务统计数据!B:B,B106,周检修业务统计数据!C:C,"干箱",周检修业务统计数据!D:D,"&lt;&gt;COS")</f>
        <v>0</v>
      </c>
      <c r="K106" s="6">
        <f>J106-'2025年18周'!J106</f>
        <v>-4</v>
      </c>
      <c r="L106" s="75">
        <f>(SUMIFS(周检修业务统计数据!I:I,周检修业务统计数据!B:B,B106,周检修业务统计数据!C:C,"干箱",周检修业务统计数据!D:D,"&lt;&gt;COS")+SUMIFS(周检修业务统计数据!J:J,周检修业务统计数据!B:B,B106,周检修业务统计数据!C:C,"干箱",周检修业务统计数据!D:D,"&lt;&gt;COS"))*1.13++SUMIFS(周检修业务统计数据!L:L,周检修业务统计数据!B:B,B106,周检修业务统计数据!C:C,"干箱",周检修业务统计数据!D:D,"&lt;&gt;COS")*1.06</f>
        <v>0</v>
      </c>
      <c r="M106" s="76">
        <f>(L106-'2025年18周'!L106)/'2025年18周'!L106</f>
        <v>-1</v>
      </c>
      <c r="N106" s="77" t="e">
        <f t="shared" si="22"/>
        <v>#DIV/0!</v>
      </c>
      <c r="O106" s="76" t="e">
        <f>(N106-'2025年18周'!N106)/'2025年18周'!N106</f>
        <v>#DIV/0!</v>
      </c>
      <c r="P106" s="78">
        <f>(SUMIFS(周检修业务统计数据!I:I,周检修业务统计数据!B:B,B106,周检修业务统计数据!C:C,"&lt;&gt;干箱")+SUMIFS(周检修业务统计数据!J:J,周检修业务统计数据!B:B,B106,周检修业务统计数据!C:C,"&lt;&gt;干箱"))*1.13++SUMIFS(周检修业务统计数据!L:L,周检修业务统计数据!B:B,B106,周检修业务统计数据!C:C,"&lt;&gt;干箱")*1.06</f>
        <v>0</v>
      </c>
      <c r="Q106" s="3"/>
      <c r="R106" s="3"/>
      <c r="S106" s="3">
        <f t="shared" si="23"/>
        <v>0</v>
      </c>
      <c r="T106" s="238">
        <f t="shared" si="24"/>
        <v>151</v>
      </c>
      <c r="U106" s="77">
        <f t="shared" si="25"/>
        <v>51731</v>
      </c>
      <c r="V106" s="77" t="e">
        <f t="shared" si="26"/>
        <v>#DIV/0!</v>
      </c>
      <c r="W106" s="6"/>
      <c r="X106" s="146"/>
      <c r="Y106" s="130"/>
      <c r="Z106" s="3"/>
      <c r="AA106" s="3"/>
      <c r="AB106" s="3"/>
      <c r="AC106" s="4"/>
    </row>
    <row r="107" ht="15.6" customHeight="1" spans="1:29">
      <c r="A107" s="10" t="s">
        <v>76</v>
      </c>
      <c r="B107" s="6" t="s">
        <v>81</v>
      </c>
      <c r="C107" s="6">
        <f>SUMIFS(周检修业务统计数据!E:E,周检修业务统计数据!B:B,B107,周检修业务统计数据!C:C,"干箱",周检修业务统计数据!D:D,"COS")</f>
        <v>238</v>
      </c>
      <c r="D107" s="6">
        <f>C107-'2025年18周'!C107</f>
        <v>-26</v>
      </c>
      <c r="E107" s="75">
        <f>(SUMIFS(周检修业务统计数据!I:I,周检修业务统计数据!B:B,B107,周检修业务统计数据!C:C,"干箱",周检修业务统计数据!D:D,"COS")+SUMIFS(周检修业务统计数据!J:J,周检修业务统计数据!B:B,B107,周检修业务统计数据!C:C,"干箱",周检修业务统计数据!D:D,"COS"))*1.13</f>
        <v>36900.72</v>
      </c>
      <c r="F107" s="76">
        <f>(E107-'2025年18周'!E107)/'2025年18周'!E107</f>
        <v>-0.1279</v>
      </c>
      <c r="G107" s="77">
        <f t="shared" si="21"/>
        <v>155</v>
      </c>
      <c r="H107" s="76">
        <f>(G107-'2025年18周'!G107)/'2025年18周'!G107</f>
        <v>-0.0313</v>
      </c>
      <c r="I107" s="6">
        <f>SUMIFS(周检修业务统计数据!L:L,周检修业务统计数据!B:B,B107,周检修业务统计数据!C:C,"干箱",周检修业务统计数据!D:D,"COS")*1.06</f>
        <v>13170.7756</v>
      </c>
      <c r="J107" s="6">
        <f>SUMIFS(周检修业务统计数据!E:E,周检修业务统计数据!B:B,B107,周检修业务统计数据!C:C,"干箱",周检修业务统计数据!D:D,"&lt;&gt;COS")</f>
        <v>0</v>
      </c>
      <c r="K107" s="6">
        <f>J107-'2025年18周'!J107</f>
        <v>0</v>
      </c>
      <c r="L107" s="75">
        <f>(SUMIFS(周检修业务统计数据!I:I,周检修业务统计数据!B:B,B107,周检修业务统计数据!C:C,"干箱",周检修业务统计数据!D:D,"&lt;&gt;COS")+SUMIFS(周检修业务统计数据!J:J,周检修业务统计数据!B:B,B107,周检修业务统计数据!C:C,"干箱",周检修业务统计数据!D:D,"&lt;&gt;COS"))*1.13++SUMIFS(周检修业务统计数据!L:L,周检修业务统计数据!B:B,B107,周检修业务统计数据!C:C,"干箱",周检修业务统计数据!D:D,"&lt;&gt;COS")*1.06</f>
        <v>0</v>
      </c>
      <c r="M107" s="76" t="e">
        <f>(L107-'2025年18周'!L107)/'2025年18周'!L107</f>
        <v>#DIV/0!</v>
      </c>
      <c r="N107" s="77" t="e">
        <f t="shared" si="22"/>
        <v>#DIV/0!</v>
      </c>
      <c r="O107" s="76" t="e">
        <f>(N107-'2025年18周'!N107)/'2025年18周'!N107</f>
        <v>#DIV/0!</v>
      </c>
      <c r="P107" s="78">
        <f>(SUMIFS(周检修业务统计数据!I:I,周检修业务统计数据!B:B,B107,周检修业务统计数据!C:C,"&lt;&gt;干箱")+SUMIFS(周检修业务统计数据!J:J,周检修业务统计数据!B:B,B107,周检修业务统计数据!C:C,"&lt;&gt;干箱"))*1.13++SUMIFS(周检修业务统计数据!L:L,周检修业务统计数据!B:B,B107,周检修业务统计数据!C:C,"&lt;&gt;干箱")*1.06</f>
        <v>0</v>
      </c>
      <c r="Q107" s="3"/>
      <c r="R107" s="3"/>
      <c r="S107" s="3">
        <f t="shared" si="23"/>
        <v>0</v>
      </c>
      <c r="T107" s="238">
        <f t="shared" si="24"/>
        <v>238</v>
      </c>
      <c r="U107" s="77">
        <f t="shared" si="25"/>
        <v>50071</v>
      </c>
      <c r="V107" s="77" t="e">
        <f t="shared" si="26"/>
        <v>#DIV/0!</v>
      </c>
      <c r="W107" s="6"/>
      <c r="X107" s="146"/>
      <c r="Y107" s="130"/>
      <c r="Z107" s="3"/>
      <c r="AA107" s="3"/>
      <c r="AB107" s="3"/>
      <c r="AC107" s="4"/>
    </row>
    <row r="108" ht="15.6" customHeight="1" spans="1:29">
      <c r="A108" s="10" t="s">
        <v>76</v>
      </c>
      <c r="B108" s="6" t="s">
        <v>82</v>
      </c>
      <c r="C108" s="6">
        <f>SUMIFS(周检修业务统计数据!E:E,周检修业务统计数据!B:B,B108,周检修业务统计数据!C:C,"干箱",周检修业务统计数据!D:D,"COS")</f>
        <v>209</v>
      </c>
      <c r="D108" s="6">
        <f>C108-'2025年18周'!C108</f>
        <v>-8</v>
      </c>
      <c r="E108" s="75">
        <f>(SUMIFS(周检修业务统计数据!I:I,周检修业务统计数据!B:B,B108,周检修业务统计数据!C:C,"干箱",周检修业务统计数据!D:D,"COS")+SUMIFS(周检修业务统计数据!J:J,周检修业务统计数据!B:B,B108,周检修业务统计数据!C:C,"干箱",周检修业务统计数据!D:D,"COS"))*1.13</f>
        <v>59774.8</v>
      </c>
      <c r="F108" s="76">
        <f>(E108-'2025年18周'!E108)/'2025年18周'!E108</f>
        <v>-0.0837</v>
      </c>
      <c r="G108" s="77">
        <f t="shared" si="21"/>
        <v>286</v>
      </c>
      <c r="H108" s="76">
        <f>(G108-'2025年18周'!G108)/'2025年18周'!G108</f>
        <v>-0.0498</v>
      </c>
      <c r="I108" s="6">
        <f>SUMIFS(周检修业务统计数据!L:L,周检修业务统计数据!B:B,B108,周检修业务统计数据!C:C,"干箱",周检修业务统计数据!D:D,"COS")*1.06</f>
        <v>0</v>
      </c>
      <c r="J108" s="6">
        <f>SUMIFS(周检修业务统计数据!E:E,周检修业务统计数据!B:B,B108,周检修业务统计数据!C:C,"干箱",周检修业务统计数据!D:D,"&lt;&gt;COS")</f>
        <v>9</v>
      </c>
      <c r="K108" s="6">
        <f>J108-'2025年18周'!J108</f>
        <v>9</v>
      </c>
      <c r="L108" s="75">
        <f>(SUMIFS(周检修业务统计数据!I:I,周检修业务统计数据!B:B,B108,周检修业务统计数据!C:C,"干箱",周检修业务统计数据!D:D,"&lt;&gt;COS")+SUMIFS(周检修业务统计数据!J:J,周检修业务统计数据!B:B,B108,周检修业务统计数据!C:C,"干箱",周检修业务统计数据!D:D,"&lt;&gt;COS"))*1.13++SUMIFS(周检修业务统计数据!L:L,周检修业务统计数据!B:B,B108,周检修业务统计数据!C:C,"干箱",周检修业务统计数据!D:D,"&lt;&gt;COS")*1.06</f>
        <v>3733.98</v>
      </c>
      <c r="M108" s="76" t="e">
        <f>(L108-'2025年18周'!L108)/'2025年18周'!L108</f>
        <v>#DIV/0!</v>
      </c>
      <c r="N108" s="77">
        <f t="shared" si="22"/>
        <v>415</v>
      </c>
      <c r="O108" s="76" t="e">
        <f>(N108-'2025年18周'!N108)/'2025年18周'!N108</f>
        <v>#DIV/0!</v>
      </c>
      <c r="P108" s="78">
        <f>(SUMIFS(周检修业务统计数据!I:I,周检修业务统计数据!B:B,B108,周检修业务统计数据!C:C,"&lt;&gt;干箱")+SUMIFS(周检修业务统计数据!J:J,周检修业务统计数据!B:B,B108,周检修业务统计数据!C:C,"&lt;&gt;干箱"))*1.13++SUMIFS(周检修业务统计数据!L:L,周检修业务统计数据!B:B,B108,周检修业务统计数据!C:C,"&lt;&gt;干箱")*1.06</f>
        <v>0</v>
      </c>
      <c r="Q108" s="3"/>
      <c r="R108" s="3"/>
      <c r="S108" s="3">
        <f t="shared" si="23"/>
        <v>0</v>
      </c>
      <c r="T108" s="238">
        <f t="shared" si="24"/>
        <v>218</v>
      </c>
      <c r="U108" s="77">
        <f t="shared" si="25"/>
        <v>63509</v>
      </c>
      <c r="V108" s="77" t="e">
        <f t="shared" si="26"/>
        <v>#DIV/0!</v>
      </c>
      <c r="W108" s="6"/>
      <c r="X108" s="146"/>
      <c r="Y108" s="130"/>
      <c r="Z108" s="3"/>
      <c r="AA108" s="3"/>
      <c r="AB108" s="3"/>
      <c r="AC108" s="4"/>
    </row>
    <row r="109" s="164" customFormat="1" ht="15.6" customHeight="1" spans="1:29">
      <c r="A109" s="13" t="s">
        <v>83</v>
      </c>
      <c r="B109" s="12" t="s">
        <v>84</v>
      </c>
      <c r="C109" s="12">
        <f>SUMIFS(周检修业务统计数据!E:E,周检修业务统计数据!B:B,B109,周检修业务统计数据!C:C,"干箱",周检修业务统计数据!D:D,"COS")</f>
        <v>58</v>
      </c>
      <c r="D109" s="12">
        <f>C109-'2025年18周'!C109</f>
        <v>-4</v>
      </c>
      <c r="E109" s="85">
        <f>(SUMIFS(周检修业务统计数据!I:I,周检修业务统计数据!B:B,B109,周检修业务统计数据!C:C,"干箱",周检修业务统计数据!D:D,"COS")+SUMIFS(周检修业务统计数据!J:J,周检修业务统计数据!B:B,B109,周检修业务统计数据!C:C,"干箱",周检修业务统计数据!D:D,"COS"))*1.13</f>
        <v>18117.97</v>
      </c>
      <c r="F109" s="86">
        <f>(E109-'2025年18周'!E109)/'2025年18周'!E109</f>
        <v>-0.2232</v>
      </c>
      <c r="G109" s="87">
        <f t="shared" si="21"/>
        <v>312</v>
      </c>
      <c r="H109" s="86">
        <f>(G109-'2025年18周'!G109)/'2025年18周'!G109</f>
        <v>-0.1702</v>
      </c>
      <c r="I109" s="12">
        <f>SUMIFS(周检修业务统计数据!L:L,周检修业务统计数据!B:B,B109,周检修业务统计数据!C:C,"干箱",周检修业务统计数据!D:D,"COS")*1.06</f>
        <v>3290.1552</v>
      </c>
      <c r="J109" s="12">
        <f>SUMIFS(周检修业务统计数据!E:E,周检修业务统计数据!B:B,B109,周检修业务统计数据!C:C,"干箱",周检修业务统计数据!D:D,"&lt;&gt;COS")</f>
        <v>0</v>
      </c>
      <c r="K109" s="12">
        <f>J109-'2025年18周'!J109</f>
        <v>0</v>
      </c>
      <c r="L109" s="85">
        <f>(SUMIFS(周检修业务统计数据!I:I,周检修业务统计数据!B:B,B109,周检修业务统计数据!C:C,"干箱",周检修业务统计数据!D:D,"&lt;&gt;COS")+SUMIFS(周检修业务统计数据!J:J,周检修业务统计数据!B:B,B109,周检修业务统计数据!C:C,"干箱",周检修业务统计数据!D:D,"&lt;&gt;COS"))*1.13++SUMIFS(周检修业务统计数据!L:L,周检修业务统计数据!B:B,B109,周检修业务统计数据!C:C,"干箱",周检修业务统计数据!D:D,"&lt;&gt;COS")*1.06</f>
        <v>0</v>
      </c>
      <c r="M109" s="86" t="e">
        <f>(L109-'2025年18周'!L109)/'2025年18周'!L109</f>
        <v>#DIV/0!</v>
      </c>
      <c r="N109" s="87" t="e">
        <f t="shared" si="22"/>
        <v>#DIV/0!</v>
      </c>
      <c r="O109" s="86" t="e">
        <f>(N109-'2025年18周'!N109)/'2025年18周'!N109</f>
        <v>#DIV/0!</v>
      </c>
      <c r="P109" s="88">
        <f>(SUMIFS(周检修业务统计数据!I:I,周检修业务统计数据!B:B,B109,周检修业务统计数据!C:C,"&lt;&gt;干箱")+SUMIFS(周检修业务统计数据!J:J,周检修业务统计数据!B:B,B109,周检修业务统计数据!C:C,"&lt;&gt;干箱"))*1.13++SUMIFS(周检修业务统计数据!L:L,周检修业务统计数据!B:B,B109,周检修业务统计数据!C:C,"&lt;&gt;干箱")*1.06</f>
        <v>0</v>
      </c>
      <c r="Q109" s="53"/>
      <c r="R109" s="53"/>
      <c r="S109" s="53">
        <f t="shared" si="23"/>
        <v>0</v>
      </c>
      <c r="T109" s="12">
        <f t="shared" si="24"/>
        <v>58</v>
      </c>
      <c r="U109" s="87">
        <f t="shared" si="25"/>
        <v>21408</v>
      </c>
      <c r="V109" s="87" t="e">
        <f t="shared" si="26"/>
        <v>#DIV/0!</v>
      </c>
      <c r="W109" s="12"/>
      <c r="X109" s="144"/>
      <c r="Y109" s="130"/>
      <c r="Z109" s="53"/>
      <c r="AA109" s="53"/>
      <c r="AB109" s="53"/>
      <c r="AC109" s="237"/>
    </row>
    <row r="110" s="164" customFormat="1" ht="15.6" customHeight="1" spans="1:29">
      <c r="A110" s="13" t="s">
        <v>85</v>
      </c>
      <c r="B110" s="12" t="s">
        <v>86</v>
      </c>
      <c r="C110" s="12">
        <f>SUMIFS(周检修业务统计数据!E:E,周检修业务统计数据!B:B,B110,周检修业务统计数据!C:C,"干箱",周检修业务统计数据!D:D,"COS")</f>
        <v>329</v>
      </c>
      <c r="D110" s="12">
        <f>C110-'2025年18周'!C110</f>
        <v>-412</v>
      </c>
      <c r="E110" s="85">
        <f>(SUMIFS(周检修业务统计数据!I:I,周检修业务统计数据!B:B,B110,周检修业务统计数据!C:C,"干箱",周检修业务统计数据!D:D,"COS")+SUMIFS(周检修业务统计数据!J:J,周检修业务统计数据!B:B,B110,周检修业务统计数据!C:C,"干箱",周检修业务统计数据!D:D,"COS"))*1.13</f>
        <v>117602.03</v>
      </c>
      <c r="F110" s="86">
        <f>(E110-'2025年18周'!E110)/'2025年18周'!E110</f>
        <v>-0.5767</v>
      </c>
      <c r="G110" s="87">
        <f t="shared" si="21"/>
        <v>357</v>
      </c>
      <c r="H110" s="86">
        <f>(G110-'2025年18周'!G110)/'2025年18周'!G110</f>
        <v>-0.048</v>
      </c>
      <c r="I110" s="12">
        <f>SUMIFS(周检修业务统计数据!L:L,周检修业务统计数据!B:B,B110,周检修业务统计数据!C:C,"干箱",周检修业务统计数据!D:D,"COS")*1.06</f>
        <v>0</v>
      </c>
      <c r="J110" s="12">
        <f>SUMIFS(周检修业务统计数据!E:E,周检修业务统计数据!B:B,B110,周检修业务统计数据!C:C,"干箱",周检修业务统计数据!D:D,"&lt;&gt;COS")</f>
        <v>0</v>
      </c>
      <c r="K110" s="12">
        <f>J110-'2025年18周'!J110</f>
        <v>0</v>
      </c>
      <c r="L110" s="85">
        <f>(SUMIFS(周检修业务统计数据!I:I,周检修业务统计数据!B:B,B110,周检修业务统计数据!C:C,"干箱",周检修业务统计数据!D:D,"&lt;&gt;COS")+SUMIFS(周检修业务统计数据!J:J,周检修业务统计数据!B:B,B110,周检修业务统计数据!C:C,"干箱",周检修业务统计数据!D:D,"&lt;&gt;COS"))*1.13++SUMIFS(周检修业务统计数据!L:L,周检修业务统计数据!B:B,B110,周检修业务统计数据!C:C,"干箱",周检修业务统计数据!D:D,"&lt;&gt;COS")*1.06</f>
        <v>0</v>
      </c>
      <c r="M110" s="86" t="e">
        <f>(L110-'2025年18周'!L110)/'2025年18周'!L110</f>
        <v>#DIV/0!</v>
      </c>
      <c r="N110" s="87" t="e">
        <f t="shared" si="22"/>
        <v>#DIV/0!</v>
      </c>
      <c r="O110" s="86" t="e">
        <f>(N110-'2025年18周'!N110)/'2025年18周'!N110</f>
        <v>#DIV/0!</v>
      </c>
      <c r="P110" s="88">
        <f>(SUMIFS(周检修业务统计数据!I:I,周检修业务统计数据!B:B,B110,周检修业务统计数据!C:C,"&lt;&gt;干箱")+SUMIFS(周检修业务统计数据!J:J,周检修业务统计数据!B:B,B110,周检修业务统计数据!C:C,"&lt;&gt;干箱"))*1.13++SUMIFS(周检修业务统计数据!L:L,周检修业务统计数据!B:B,B110,周检修业务统计数据!C:C,"&lt;&gt;干箱")*1.06</f>
        <v>0</v>
      </c>
      <c r="Q110" s="53"/>
      <c r="R110" s="53"/>
      <c r="S110" s="53">
        <f t="shared" si="23"/>
        <v>0</v>
      </c>
      <c r="T110" s="12">
        <f t="shared" si="24"/>
        <v>329</v>
      </c>
      <c r="U110" s="87">
        <f t="shared" si="25"/>
        <v>117602</v>
      </c>
      <c r="V110" s="87" t="e">
        <f t="shared" si="26"/>
        <v>#DIV/0!</v>
      </c>
      <c r="W110" s="12"/>
      <c r="X110" s="144"/>
      <c r="Y110" s="130"/>
      <c r="Z110" s="53"/>
      <c r="AA110" s="53"/>
      <c r="AB110" s="53"/>
      <c r="AC110" s="237"/>
    </row>
    <row r="111" s="164" customFormat="1" spans="1:29">
      <c r="A111" s="13" t="s">
        <v>83</v>
      </c>
      <c r="B111" s="12" t="s">
        <v>87</v>
      </c>
      <c r="C111" s="12">
        <f>SUMIFS(周检修业务统计数据!E:E,周检修业务统计数据!B:B,B111,周检修业务统计数据!C:C,"干箱",周检修业务统计数据!D:D,"COS")</f>
        <v>0</v>
      </c>
      <c r="D111" s="12">
        <f>C111-'2025年18周'!C111</f>
        <v>0</v>
      </c>
      <c r="E111" s="85">
        <f>(SUMIFS(周检修业务统计数据!I:I,周检修业务统计数据!B:B,B111,周检修业务统计数据!C:C,"干箱",周检修业务统计数据!D:D,"COS")+SUMIFS(周检修业务统计数据!J:J,周检修业务统计数据!B:B,B111,周检修业务统计数据!C:C,"干箱",周检修业务统计数据!D:D,"COS"))*1.13</f>
        <v>0</v>
      </c>
      <c r="F111" s="86" t="e">
        <f>(E111-'2025年18周'!E111)/'2025年18周'!E111</f>
        <v>#DIV/0!</v>
      </c>
      <c r="G111" s="87" t="e">
        <f t="shared" ref="G111:G159" si="27">E111/C111</f>
        <v>#DIV/0!</v>
      </c>
      <c r="H111" s="86" t="e">
        <f>(G111-'2025年18周'!G111)/'2025年18周'!G111</f>
        <v>#DIV/0!</v>
      </c>
      <c r="I111" s="12">
        <f>SUMIFS(周检修业务统计数据!L:L,周检修业务统计数据!B:B,B111,周检修业务统计数据!C:C,"干箱",周检修业务统计数据!D:D,"COS")*1.06</f>
        <v>0</v>
      </c>
      <c r="J111" s="12">
        <f>SUMIFS(周检修业务统计数据!E:E,周检修业务统计数据!B:B,B111,周检修业务统计数据!C:C,"干箱",周检修业务统计数据!D:D,"&lt;&gt;COS")</f>
        <v>0</v>
      </c>
      <c r="K111" s="12">
        <f>J111-'2025年18周'!J111</f>
        <v>0</v>
      </c>
      <c r="L111" s="85">
        <f>(SUMIFS(周检修业务统计数据!I:I,周检修业务统计数据!B:B,B111,周检修业务统计数据!C:C,"干箱",周检修业务统计数据!D:D,"&lt;&gt;COS")+SUMIFS(周检修业务统计数据!J:J,周检修业务统计数据!B:B,B111,周检修业务统计数据!C:C,"干箱",周检修业务统计数据!D:D,"&lt;&gt;COS"))*1.13++SUMIFS(周检修业务统计数据!L:L,周检修业务统计数据!B:B,B111,周检修业务统计数据!C:C,"干箱",周检修业务统计数据!D:D,"&lt;&gt;COS")*1.06</f>
        <v>0</v>
      </c>
      <c r="M111" s="86" t="e">
        <f>(L111-'2025年18周'!L111)/'2025年18周'!L111</f>
        <v>#DIV/0!</v>
      </c>
      <c r="N111" s="87" t="e">
        <f t="shared" ref="N111:N159" si="28">L111/J111</f>
        <v>#DIV/0!</v>
      </c>
      <c r="O111" s="86" t="e">
        <f>(N111-'2025年18周'!N111)/'2025年18周'!N111</f>
        <v>#DIV/0!</v>
      </c>
      <c r="P111" s="88">
        <f>(SUMIFS(周检修业务统计数据!I:I,周检修业务统计数据!B:B,B111,周检修业务统计数据!C:C,"&lt;&gt;干箱")+SUMIFS(周检修业务统计数据!J:J,周检修业务统计数据!B:B,B111,周检修业务统计数据!C:C,"&lt;&gt;干箱"))*1.13++SUMIFS(周检修业务统计数据!L:L,周检修业务统计数据!B:B,B111,周检修业务统计数据!C:C,"&lt;&gt;干箱")*1.06</f>
        <v>0</v>
      </c>
      <c r="Q111" s="53"/>
      <c r="R111" s="53"/>
      <c r="S111" s="53">
        <f t="shared" ref="S111:S142" si="29">S253</f>
        <v>0</v>
      </c>
      <c r="T111" s="12">
        <f t="shared" ref="T111:T159" si="30">C111+J111</f>
        <v>0</v>
      </c>
      <c r="U111" s="87">
        <f t="shared" ref="U111:U159" si="31">E111+L111+I111+P111+Q111+R111+S111</f>
        <v>0</v>
      </c>
      <c r="V111" s="87" t="e">
        <f t="shared" ref="V111:V158" si="32">U111/W111</f>
        <v>#DIV/0!</v>
      </c>
      <c r="W111" s="12"/>
      <c r="X111" s="144"/>
      <c r="Y111" s="130"/>
      <c r="Z111" s="53"/>
      <c r="AA111" s="53"/>
      <c r="AB111" s="53"/>
      <c r="AC111" s="237"/>
    </row>
    <row r="112" s="164" customFormat="1" spans="1:29">
      <c r="A112" s="13" t="s">
        <v>83</v>
      </c>
      <c r="B112" s="12" t="s">
        <v>88</v>
      </c>
      <c r="C112" s="12">
        <f>SUMIFS(周检修业务统计数据!E:E,周检修业务统计数据!B:B,B112,周检修业务统计数据!C:C,"干箱",周检修业务统计数据!D:D,"COS")</f>
        <v>18</v>
      </c>
      <c r="D112" s="12">
        <f>C112-'2025年18周'!C112</f>
        <v>2</v>
      </c>
      <c r="E112" s="85">
        <f>(SUMIFS(周检修业务统计数据!I:I,周检修业务统计数据!B:B,B112,周检修业务统计数据!C:C,"干箱",周检修业务统计数据!D:D,"COS")+SUMIFS(周检修业务统计数据!J:J,周检修业务统计数据!B:B,B112,周检修业务统计数据!C:C,"干箱",周检修业务统计数据!D:D,"COS"))*1.13</f>
        <v>429.15</v>
      </c>
      <c r="F112" s="86">
        <f>(E112-'2025年18周'!E112)/'2025年18周'!E112</f>
        <v>-0.8477</v>
      </c>
      <c r="G112" s="87">
        <f t="shared" si="27"/>
        <v>24</v>
      </c>
      <c r="H112" s="86">
        <f>(G112-'2025年18周'!G112)/'2025年18周'!G112</f>
        <v>-0.8636</v>
      </c>
      <c r="I112" s="12">
        <f>SUMIFS(周检修业务统计数据!L:L,周检修业务统计数据!B:B,B112,周检修业务统计数据!C:C,"干箱",周检修业务统计数据!D:D,"COS")*1.06</f>
        <v>1329.9184</v>
      </c>
      <c r="J112" s="12">
        <f>SUMIFS(周检修业务统计数据!E:E,周检修业务统计数据!B:B,B112,周检修业务统计数据!C:C,"干箱",周检修业务统计数据!D:D,"&lt;&gt;COS")</f>
        <v>0</v>
      </c>
      <c r="K112" s="12">
        <f>J112-'2025年18周'!J112</f>
        <v>0</v>
      </c>
      <c r="L112" s="85">
        <f>(SUMIFS(周检修业务统计数据!I:I,周检修业务统计数据!B:B,B112,周检修业务统计数据!C:C,"干箱",周检修业务统计数据!D:D,"&lt;&gt;COS")+SUMIFS(周检修业务统计数据!J:J,周检修业务统计数据!B:B,B112,周检修业务统计数据!C:C,"干箱",周检修业务统计数据!D:D,"&lt;&gt;COS"))*1.13++SUMIFS(周检修业务统计数据!L:L,周检修业务统计数据!B:B,B112,周检修业务统计数据!C:C,"干箱",周检修业务统计数据!D:D,"&lt;&gt;COS")*1.06</f>
        <v>0</v>
      </c>
      <c r="M112" s="86" t="e">
        <f>(L112-'2025年18周'!L112)/'2025年18周'!L112</f>
        <v>#DIV/0!</v>
      </c>
      <c r="N112" s="87" t="e">
        <f t="shared" si="28"/>
        <v>#DIV/0!</v>
      </c>
      <c r="O112" s="86" t="e">
        <f>(N112-'2025年18周'!N112)/'2025年18周'!N112</f>
        <v>#DIV/0!</v>
      </c>
      <c r="P112" s="88">
        <f>(SUMIFS(周检修业务统计数据!I:I,周检修业务统计数据!B:B,B112,周检修业务统计数据!C:C,"&lt;&gt;干箱")+SUMIFS(周检修业务统计数据!J:J,周检修业务统计数据!B:B,B112,周检修业务统计数据!C:C,"&lt;&gt;干箱"))*1.13++SUMIFS(周检修业务统计数据!L:L,周检修业务统计数据!B:B,B112,周检修业务统计数据!C:C,"&lt;&gt;干箱")*1.06</f>
        <v>0</v>
      </c>
      <c r="Q112" s="53"/>
      <c r="R112" s="53"/>
      <c r="S112" s="53">
        <f t="shared" si="29"/>
        <v>0</v>
      </c>
      <c r="T112" s="12">
        <f t="shared" si="30"/>
        <v>18</v>
      </c>
      <c r="U112" s="87">
        <f t="shared" si="31"/>
        <v>1759</v>
      </c>
      <c r="V112" s="87" t="e">
        <f t="shared" si="32"/>
        <v>#DIV/0!</v>
      </c>
      <c r="W112" s="12"/>
      <c r="X112" s="144"/>
      <c r="Y112" s="130"/>
      <c r="Z112" s="53"/>
      <c r="AA112" s="53"/>
      <c r="AB112" s="53"/>
      <c r="AC112" s="237"/>
    </row>
    <row r="113" s="164" customFormat="1" spans="1:29">
      <c r="A113" s="13" t="s">
        <v>83</v>
      </c>
      <c r="B113" s="12" t="s">
        <v>89</v>
      </c>
      <c r="C113" s="12">
        <f>SUMIFS(周检修业务统计数据!E:E,周检修业务统计数据!B:B,B113,周检修业务统计数据!C:C,"干箱",周检修业务统计数据!D:D,"COS")</f>
        <v>0</v>
      </c>
      <c r="D113" s="12">
        <f>C113-'2025年18周'!C113</f>
        <v>0</v>
      </c>
      <c r="E113" s="85">
        <f>(SUMIFS(周检修业务统计数据!I:I,周检修业务统计数据!B:B,B113,周检修业务统计数据!C:C,"干箱",周检修业务统计数据!D:D,"COS")+SUMIFS(周检修业务统计数据!J:J,周检修业务统计数据!B:B,B113,周检修业务统计数据!C:C,"干箱",周检修业务统计数据!D:D,"COS"))*1.13</f>
        <v>0</v>
      </c>
      <c r="F113" s="86" t="e">
        <f>(E113-'2025年18周'!E113)/'2025年18周'!E113</f>
        <v>#DIV/0!</v>
      </c>
      <c r="G113" s="87" t="e">
        <f t="shared" si="27"/>
        <v>#DIV/0!</v>
      </c>
      <c r="H113" s="86" t="e">
        <f>(G113-'2025年18周'!G113)/'2025年18周'!G113</f>
        <v>#DIV/0!</v>
      </c>
      <c r="I113" s="12">
        <f>SUMIFS(周检修业务统计数据!L:L,周检修业务统计数据!B:B,B113,周检修业务统计数据!C:C,"干箱",周检修业务统计数据!D:D,"COS")*1.06</f>
        <v>0</v>
      </c>
      <c r="J113" s="12">
        <f>SUMIFS(周检修业务统计数据!E:E,周检修业务统计数据!B:B,B113,周检修业务统计数据!C:C,"干箱",周检修业务统计数据!D:D,"&lt;&gt;COS")</f>
        <v>0</v>
      </c>
      <c r="K113" s="12">
        <f>J113-'2025年18周'!J113</f>
        <v>0</v>
      </c>
      <c r="L113" s="85">
        <f>(SUMIFS(周检修业务统计数据!I:I,周检修业务统计数据!B:B,B113,周检修业务统计数据!C:C,"干箱",周检修业务统计数据!D:D,"&lt;&gt;COS")+SUMIFS(周检修业务统计数据!J:J,周检修业务统计数据!B:B,B113,周检修业务统计数据!C:C,"干箱",周检修业务统计数据!D:D,"&lt;&gt;COS"))*1.13++SUMIFS(周检修业务统计数据!L:L,周检修业务统计数据!B:B,B113,周检修业务统计数据!C:C,"干箱",周检修业务统计数据!D:D,"&lt;&gt;COS")*1.06</f>
        <v>0</v>
      </c>
      <c r="M113" s="86" t="e">
        <f>(L113-'2025年18周'!L113)/'2025年18周'!L113</f>
        <v>#DIV/0!</v>
      </c>
      <c r="N113" s="87" t="e">
        <f t="shared" si="28"/>
        <v>#DIV/0!</v>
      </c>
      <c r="O113" s="86" t="e">
        <f>(N113-'2025年18周'!N113)/'2025年18周'!N113</f>
        <v>#DIV/0!</v>
      </c>
      <c r="P113" s="88">
        <f>(SUMIFS(周检修业务统计数据!I:I,周检修业务统计数据!B:B,B113,周检修业务统计数据!C:C,"&lt;&gt;干箱")+SUMIFS(周检修业务统计数据!J:J,周检修业务统计数据!B:B,B113,周检修业务统计数据!C:C,"&lt;&gt;干箱"))*1.13++SUMIFS(周检修业务统计数据!L:L,周检修业务统计数据!B:B,B113,周检修业务统计数据!C:C,"&lt;&gt;干箱")*1.06</f>
        <v>0</v>
      </c>
      <c r="Q113" s="53"/>
      <c r="R113" s="53"/>
      <c r="S113" s="53">
        <f t="shared" si="29"/>
        <v>0</v>
      </c>
      <c r="T113" s="12">
        <f t="shared" si="30"/>
        <v>0</v>
      </c>
      <c r="U113" s="87">
        <f t="shared" si="31"/>
        <v>0</v>
      </c>
      <c r="V113" s="87" t="e">
        <f t="shared" si="32"/>
        <v>#DIV/0!</v>
      </c>
      <c r="W113" s="12"/>
      <c r="X113" s="144"/>
      <c r="Y113" s="130"/>
      <c r="Z113" s="53"/>
      <c r="AA113" s="53"/>
      <c r="AB113" s="53"/>
      <c r="AC113" s="237"/>
    </row>
    <row r="114" s="164" customFormat="1" spans="1:29">
      <c r="A114" s="13" t="s">
        <v>83</v>
      </c>
      <c r="B114" s="12" t="s">
        <v>90</v>
      </c>
      <c r="C114" s="12">
        <f>SUMIFS(周检修业务统计数据!E:E,周检修业务统计数据!B:B,B114,周检修业务统计数据!C:C,"干箱",周检修业务统计数据!D:D,"COS")</f>
        <v>0</v>
      </c>
      <c r="D114" s="12">
        <f>C114-'2025年18周'!C114</f>
        <v>0</v>
      </c>
      <c r="E114" s="85">
        <f>(SUMIFS(周检修业务统计数据!I:I,周检修业务统计数据!B:B,B114,周检修业务统计数据!C:C,"干箱",周检修业务统计数据!D:D,"COS")+SUMIFS(周检修业务统计数据!J:J,周检修业务统计数据!B:B,B114,周检修业务统计数据!C:C,"干箱",周检修业务统计数据!D:D,"COS"))*1.13</f>
        <v>0</v>
      </c>
      <c r="F114" s="86" t="e">
        <f>(E114-'2025年18周'!E114)/'2025年18周'!E114</f>
        <v>#DIV/0!</v>
      </c>
      <c r="G114" s="87" t="e">
        <f t="shared" si="27"/>
        <v>#DIV/0!</v>
      </c>
      <c r="H114" s="86" t="e">
        <f>(G114-'2025年18周'!G114)/'2025年18周'!G114</f>
        <v>#DIV/0!</v>
      </c>
      <c r="I114" s="12">
        <f>SUMIFS(周检修业务统计数据!L:L,周检修业务统计数据!B:B,B114,周检修业务统计数据!C:C,"干箱",周检修业务统计数据!D:D,"COS")*1.06</f>
        <v>0</v>
      </c>
      <c r="J114" s="12">
        <f>SUMIFS(周检修业务统计数据!E:E,周检修业务统计数据!B:B,B114,周检修业务统计数据!C:C,"干箱",周检修业务统计数据!D:D,"&lt;&gt;COS")</f>
        <v>0</v>
      </c>
      <c r="K114" s="12">
        <f>J114-'2025年18周'!J114</f>
        <v>0</v>
      </c>
      <c r="L114" s="85">
        <f>(SUMIFS(周检修业务统计数据!I:I,周检修业务统计数据!B:B,B114,周检修业务统计数据!C:C,"干箱",周检修业务统计数据!D:D,"&lt;&gt;COS")+SUMIFS(周检修业务统计数据!J:J,周检修业务统计数据!B:B,B114,周检修业务统计数据!C:C,"干箱",周检修业务统计数据!D:D,"&lt;&gt;COS"))*1.13++SUMIFS(周检修业务统计数据!L:L,周检修业务统计数据!B:B,B114,周检修业务统计数据!C:C,"干箱",周检修业务统计数据!D:D,"&lt;&gt;COS")*1.06</f>
        <v>0</v>
      </c>
      <c r="M114" s="86" t="e">
        <f>(L114-'2025年18周'!L114)/'2025年18周'!L114</f>
        <v>#DIV/0!</v>
      </c>
      <c r="N114" s="87" t="e">
        <f t="shared" si="28"/>
        <v>#DIV/0!</v>
      </c>
      <c r="O114" s="86" t="e">
        <f>(N114-'2025年18周'!N114)/'2025年18周'!N114</f>
        <v>#DIV/0!</v>
      </c>
      <c r="P114" s="88">
        <f>(SUMIFS(周检修业务统计数据!I:I,周检修业务统计数据!B:B,B114,周检修业务统计数据!C:C,"&lt;&gt;干箱")+SUMIFS(周检修业务统计数据!J:J,周检修业务统计数据!B:B,B114,周检修业务统计数据!C:C,"&lt;&gt;干箱"))*1.13++SUMIFS(周检修业务统计数据!L:L,周检修业务统计数据!B:B,B114,周检修业务统计数据!C:C,"&lt;&gt;干箱")*1.06</f>
        <v>0</v>
      </c>
      <c r="Q114" s="53"/>
      <c r="R114" s="53"/>
      <c r="S114" s="53">
        <f t="shared" si="29"/>
        <v>0</v>
      </c>
      <c r="T114" s="12">
        <f t="shared" si="30"/>
        <v>0</v>
      </c>
      <c r="U114" s="87">
        <f t="shared" si="31"/>
        <v>0</v>
      </c>
      <c r="V114" s="87" t="e">
        <f t="shared" si="32"/>
        <v>#DIV/0!</v>
      </c>
      <c r="W114" s="12"/>
      <c r="X114" s="144"/>
      <c r="Y114" s="130"/>
      <c r="Z114" s="53"/>
      <c r="AA114" s="53"/>
      <c r="AB114" s="53"/>
      <c r="AC114" s="237"/>
    </row>
    <row r="115" s="164" customFormat="1" spans="1:29">
      <c r="A115" s="13" t="s">
        <v>83</v>
      </c>
      <c r="B115" s="12" t="s">
        <v>91</v>
      </c>
      <c r="C115" s="12">
        <f>SUMIFS(周检修业务统计数据!E:E,周检修业务统计数据!B:B,B115,周检修业务统计数据!C:C,"干箱",周检修业务统计数据!D:D,"COS")</f>
        <v>389</v>
      </c>
      <c r="D115" s="12">
        <f>C115-'2025年18周'!C115</f>
        <v>-130</v>
      </c>
      <c r="E115" s="85">
        <f>(SUMIFS(周检修业务统计数据!I:I,周检修业务统计数据!B:B,B115,周检修业务统计数据!C:C,"干箱",周检修业务统计数据!D:D,"COS")+SUMIFS(周检修业务统计数据!J:J,周检修业务统计数据!B:B,B115,周检修业务统计数据!C:C,"干箱",周检修业务统计数据!D:D,"COS"))*1.13</f>
        <v>41872.21</v>
      </c>
      <c r="F115" s="86">
        <f>(E115-'2025年18周'!E115)/'2025年18周'!E115</f>
        <v>-0.5935</v>
      </c>
      <c r="G115" s="87">
        <f t="shared" si="27"/>
        <v>108</v>
      </c>
      <c r="H115" s="86">
        <f>(G115-'2025年18周'!G115)/'2025年18周'!G115</f>
        <v>-0.4545</v>
      </c>
      <c r="I115" s="12">
        <f>SUMIFS(周检修业务统计数据!L:L,周检修业务统计数据!B:B,B115,周检修业务统计数据!C:C,"干箱",周检修业务统计数据!D:D,"COS")*1.06</f>
        <v>24634.9618</v>
      </c>
      <c r="J115" s="12">
        <f>SUMIFS(周检修业务统计数据!E:E,周检修业务统计数据!B:B,B115,周检修业务统计数据!C:C,"干箱",周检修业务统计数据!D:D,"&lt;&gt;COS")</f>
        <v>0</v>
      </c>
      <c r="K115" s="12">
        <f>J115-'2025年18周'!J115</f>
        <v>0</v>
      </c>
      <c r="L115" s="85">
        <f>(SUMIFS(周检修业务统计数据!I:I,周检修业务统计数据!B:B,B115,周检修业务统计数据!C:C,"干箱",周检修业务统计数据!D:D,"&lt;&gt;COS")+SUMIFS(周检修业务统计数据!J:J,周检修业务统计数据!B:B,B115,周检修业务统计数据!C:C,"干箱",周检修业务统计数据!D:D,"&lt;&gt;COS"))*1.13++SUMIFS(周检修业务统计数据!L:L,周检修业务统计数据!B:B,B115,周检修业务统计数据!C:C,"干箱",周检修业务统计数据!D:D,"&lt;&gt;COS")*1.06</f>
        <v>0</v>
      </c>
      <c r="M115" s="86" t="e">
        <f>(L115-'2025年18周'!L115)/'2025年18周'!L115</f>
        <v>#DIV/0!</v>
      </c>
      <c r="N115" s="87" t="e">
        <f t="shared" si="28"/>
        <v>#DIV/0!</v>
      </c>
      <c r="O115" s="86" t="e">
        <f>(N115-'2025年18周'!N115)/'2025年18周'!N115</f>
        <v>#DIV/0!</v>
      </c>
      <c r="P115" s="88">
        <f>(SUMIFS(周检修业务统计数据!I:I,周检修业务统计数据!B:B,B115,周检修业务统计数据!C:C,"&lt;&gt;干箱")+SUMIFS(周检修业务统计数据!J:J,周检修业务统计数据!B:B,B115,周检修业务统计数据!C:C,"&lt;&gt;干箱"))*1.13++SUMIFS(周检修业务统计数据!L:L,周检修业务统计数据!B:B,B115,周检修业务统计数据!C:C,"&lt;&gt;干箱")*1.06</f>
        <v>0</v>
      </c>
      <c r="Q115" s="53"/>
      <c r="R115" s="53"/>
      <c r="S115" s="53">
        <f t="shared" si="29"/>
        <v>0</v>
      </c>
      <c r="T115" s="12">
        <f t="shared" si="30"/>
        <v>389</v>
      </c>
      <c r="U115" s="87">
        <f t="shared" si="31"/>
        <v>66507</v>
      </c>
      <c r="V115" s="87" t="e">
        <f t="shared" si="32"/>
        <v>#DIV/0!</v>
      </c>
      <c r="W115" s="12"/>
      <c r="X115" s="144"/>
      <c r="Y115" s="130"/>
      <c r="Z115" s="53"/>
      <c r="AA115" s="53"/>
      <c r="AB115" s="53"/>
      <c r="AC115" s="237"/>
    </row>
    <row r="116" s="164" customFormat="1" spans="1:29">
      <c r="A116" s="13" t="s">
        <v>83</v>
      </c>
      <c r="B116" s="12" t="s">
        <v>92</v>
      </c>
      <c r="C116" s="12">
        <f>SUMIFS(周检修业务统计数据!E:E,周检修业务统计数据!B:B,B116,周检修业务统计数据!C:C,"干箱",周检修业务统计数据!D:D,"COS")</f>
        <v>0</v>
      </c>
      <c r="D116" s="12">
        <f>C116-'2025年18周'!C116</f>
        <v>0</v>
      </c>
      <c r="E116" s="85">
        <f>(SUMIFS(周检修业务统计数据!I:I,周检修业务统计数据!B:B,B116,周检修业务统计数据!C:C,"干箱",周检修业务统计数据!D:D,"COS")+SUMIFS(周检修业务统计数据!J:J,周检修业务统计数据!B:B,B116,周检修业务统计数据!C:C,"干箱",周检修业务统计数据!D:D,"COS"))*1.13</f>
        <v>0</v>
      </c>
      <c r="F116" s="86" t="e">
        <f>(E116-'2025年18周'!E116)/'2025年18周'!E116</f>
        <v>#DIV/0!</v>
      </c>
      <c r="G116" s="87" t="e">
        <f t="shared" si="27"/>
        <v>#DIV/0!</v>
      </c>
      <c r="H116" s="86" t="e">
        <f>(G116-'2025年18周'!G116)/'2025年18周'!G116</f>
        <v>#DIV/0!</v>
      </c>
      <c r="I116" s="12">
        <f>SUMIFS(周检修业务统计数据!L:L,周检修业务统计数据!B:B,B116,周检修业务统计数据!C:C,"干箱",周检修业务统计数据!D:D,"COS")*1.06</f>
        <v>0</v>
      </c>
      <c r="J116" s="12">
        <f>SUMIFS(周检修业务统计数据!E:E,周检修业务统计数据!B:B,B116,周检修业务统计数据!C:C,"干箱",周检修业务统计数据!D:D,"&lt;&gt;COS")</f>
        <v>0</v>
      </c>
      <c r="K116" s="12">
        <f>J116-'2025年18周'!J116</f>
        <v>0</v>
      </c>
      <c r="L116" s="85">
        <f>(SUMIFS(周检修业务统计数据!I:I,周检修业务统计数据!B:B,B116,周检修业务统计数据!C:C,"干箱",周检修业务统计数据!D:D,"&lt;&gt;COS")+SUMIFS(周检修业务统计数据!J:J,周检修业务统计数据!B:B,B116,周检修业务统计数据!C:C,"干箱",周检修业务统计数据!D:D,"&lt;&gt;COS"))*1.13++SUMIFS(周检修业务统计数据!L:L,周检修业务统计数据!B:B,B116,周检修业务统计数据!C:C,"干箱",周检修业务统计数据!D:D,"&lt;&gt;COS")*1.06</f>
        <v>0</v>
      </c>
      <c r="M116" s="86" t="e">
        <f>(L116-'2025年18周'!L116)/'2025年18周'!L116</f>
        <v>#DIV/0!</v>
      </c>
      <c r="N116" s="87" t="e">
        <f t="shared" si="28"/>
        <v>#DIV/0!</v>
      </c>
      <c r="O116" s="86" t="e">
        <f>(N116-'2025年18周'!N116)/'2025年18周'!N116</f>
        <v>#DIV/0!</v>
      </c>
      <c r="P116" s="88">
        <f>(SUMIFS(周检修业务统计数据!I:I,周检修业务统计数据!B:B,B116,周检修业务统计数据!C:C,"&lt;&gt;干箱")+SUMIFS(周检修业务统计数据!J:J,周检修业务统计数据!B:B,B116,周检修业务统计数据!C:C,"&lt;&gt;干箱"))*1.13++SUMIFS(周检修业务统计数据!L:L,周检修业务统计数据!B:B,B116,周检修业务统计数据!C:C,"&lt;&gt;干箱")*1.06</f>
        <v>0</v>
      </c>
      <c r="Q116" s="53"/>
      <c r="R116" s="53"/>
      <c r="S116" s="53">
        <f t="shared" si="29"/>
        <v>0</v>
      </c>
      <c r="T116" s="12">
        <f t="shared" si="30"/>
        <v>0</v>
      </c>
      <c r="U116" s="87">
        <f t="shared" si="31"/>
        <v>0</v>
      </c>
      <c r="V116" s="87" t="e">
        <f t="shared" si="32"/>
        <v>#DIV/0!</v>
      </c>
      <c r="W116" s="12"/>
      <c r="X116" s="144"/>
      <c r="Y116" s="130"/>
      <c r="Z116" s="53"/>
      <c r="AA116" s="53"/>
      <c r="AB116" s="53"/>
      <c r="AC116" s="237"/>
    </row>
    <row r="117" s="164" customFormat="1" spans="1:29">
      <c r="A117" s="13" t="s">
        <v>83</v>
      </c>
      <c r="B117" s="12" t="s">
        <v>93</v>
      </c>
      <c r="C117" s="12">
        <f>SUMIFS(周检修业务统计数据!E:E,周检修业务统计数据!B:B,B117,周检修业务统计数据!C:C,"干箱",周检修业务统计数据!D:D,"COS")</f>
        <v>0</v>
      </c>
      <c r="D117" s="12">
        <f>C117-'2025年18周'!C117</f>
        <v>0</v>
      </c>
      <c r="E117" s="85">
        <f>(SUMIFS(周检修业务统计数据!I:I,周检修业务统计数据!B:B,B117,周检修业务统计数据!C:C,"干箱",周检修业务统计数据!D:D,"COS")+SUMIFS(周检修业务统计数据!J:J,周检修业务统计数据!B:B,B117,周检修业务统计数据!C:C,"干箱",周检修业务统计数据!D:D,"COS"))*1.13</f>
        <v>0</v>
      </c>
      <c r="F117" s="86" t="e">
        <f>(E117-'2025年18周'!E117)/'2025年18周'!E117</f>
        <v>#DIV/0!</v>
      </c>
      <c r="G117" s="87" t="e">
        <f t="shared" si="27"/>
        <v>#DIV/0!</v>
      </c>
      <c r="H117" s="86" t="e">
        <f>(G117-'2025年18周'!G117)/'2025年18周'!G117</f>
        <v>#DIV/0!</v>
      </c>
      <c r="I117" s="12">
        <f>SUMIFS(周检修业务统计数据!L:L,周检修业务统计数据!B:B,B117,周检修业务统计数据!C:C,"干箱",周检修业务统计数据!D:D,"COS")*1.06</f>
        <v>0</v>
      </c>
      <c r="J117" s="12">
        <f>SUMIFS(周检修业务统计数据!E:E,周检修业务统计数据!B:B,B117,周检修业务统计数据!C:C,"干箱",周检修业务统计数据!D:D,"&lt;&gt;COS")</f>
        <v>0</v>
      </c>
      <c r="K117" s="12">
        <f>J117-'2025年18周'!J117</f>
        <v>0</v>
      </c>
      <c r="L117" s="85">
        <f>(SUMIFS(周检修业务统计数据!I:I,周检修业务统计数据!B:B,B117,周检修业务统计数据!C:C,"干箱",周检修业务统计数据!D:D,"&lt;&gt;COS")+SUMIFS(周检修业务统计数据!J:J,周检修业务统计数据!B:B,B117,周检修业务统计数据!C:C,"干箱",周检修业务统计数据!D:D,"&lt;&gt;COS"))*1.13++SUMIFS(周检修业务统计数据!L:L,周检修业务统计数据!B:B,B117,周检修业务统计数据!C:C,"干箱",周检修业务统计数据!D:D,"&lt;&gt;COS")*1.06</f>
        <v>0</v>
      </c>
      <c r="M117" s="86" t="e">
        <f>(L117-'2025年18周'!L117)/'2025年18周'!L117</f>
        <v>#DIV/0!</v>
      </c>
      <c r="N117" s="87" t="e">
        <f t="shared" si="28"/>
        <v>#DIV/0!</v>
      </c>
      <c r="O117" s="86" t="e">
        <f>(N117-'2025年18周'!N117)/'2025年18周'!N117</f>
        <v>#DIV/0!</v>
      </c>
      <c r="P117" s="88">
        <f>(SUMIFS(周检修业务统计数据!I:I,周检修业务统计数据!B:B,B117,周检修业务统计数据!C:C,"&lt;&gt;干箱")+SUMIFS(周检修业务统计数据!J:J,周检修业务统计数据!B:B,B117,周检修业务统计数据!C:C,"&lt;&gt;干箱"))*1.13++SUMIFS(周检修业务统计数据!L:L,周检修业务统计数据!B:B,B117,周检修业务统计数据!C:C,"&lt;&gt;干箱")*1.06</f>
        <v>0</v>
      </c>
      <c r="Q117" s="53"/>
      <c r="R117" s="53"/>
      <c r="S117" s="53">
        <f t="shared" si="29"/>
        <v>0</v>
      </c>
      <c r="T117" s="12">
        <f t="shared" si="30"/>
        <v>0</v>
      </c>
      <c r="U117" s="87">
        <f t="shared" si="31"/>
        <v>0</v>
      </c>
      <c r="V117" s="87" t="e">
        <f t="shared" si="32"/>
        <v>#DIV/0!</v>
      </c>
      <c r="W117" s="12"/>
      <c r="X117" s="144"/>
      <c r="Y117" s="130"/>
      <c r="Z117" s="53"/>
      <c r="AA117" s="53"/>
      <c r="AB117" s="53"/>
      <c r="AC117" s="237"/>
    </row>
    <row r="118" s="164" customFormat="1" spans="1:29">
      <c r="A118" s="13" t="s">
        <v>83</v>
      </c>
      <c r="B118" s="12" t="s">
        <v>94</v>
      </c>
      <c r="C118" s="12">
        <f>SUMIFS(周检修业务统计数据!E:E,周检修业务统计数据!B:B,B118,周检修业务统计数据!C:C,"干箱",周检修业务统计数据!D:D,"COS")</f>
        <v>1</v>
      </c>
      <c r="D118" s="12">
        <f>C118-'2025年18周'!C118</f>
        <v>0</v>
      </c>
      <c r="E118" s="85">
        <f>(SUMIFS(周检修业务统计数据!I:I,周检修业务统计数据!B:B,B118,周检修业务统计数据!C:C,"干箱",周检修业务统计数据!D:D,"COS")+SUMIFS(周检修业务统计数据!J:J,周检修业务统计数据!B:B,B118,周检修业务统计数据!C:C,"干箱",周检修业务统计数据!D:D,"COS"))*1.13</f>
        <v>85.51</v>
      </c>
      <c r="F118" s="86">
        <f>(E118-'2025年18周'!E118)/'2025年18周'!E118</f>
        <v>1.4013</v>
      </c>
      <c r="G118" s="87">
        <f t="shared" si="27"/>
        <v>86</v>
      </c>
      <c r="H118" s="86">
        <f>(G118-'2025年18周'!G118)/'2025年18周'!G118</f>
        <v>1.3889</v>
      </c>
      <c r="I118" s="12">
        <f>SUMIFS(周检修业务统计数据!L:L,周检修业务统计数据!B:B,B118,周检修业务统计数据!C:C,"干箱",周检修业务统计数据!D:D,"COS")*1.06</f>
        <v>74.995</v>
      </c>
      <c r="J118" s="12">
        <f>SUMIFS(周检修业务统计数据!E:E,周检修业务统计数据!B:B,B118,周检修业务统计数据!C:C,"干箱",周检修业务统计数据!D:D,"&lt;&gt;COS")</f>
        <v>0</v>
      </c>
      <c r="K118" s="12">
        <f>J118-'2025年18周'!J118</f>
        <v>0</v>
      </c>
      <c r="L118" s="85">
        <f>(SUMIFS(周检修业务统计数据!I:I,周检修业务统计数据!B:B,B118,周检修业务统计数据!C:C,"干箱",周检修业务统计数据!D:D,"&lt;&gt;COS")+SUMIFS(周检修业务统计数据!J:J,周检修业务统计数据!B:B,B118,周检修业务统计数据!C:C,"干箱",周检修业务统计数据!D:D,"&lt;&gt;COS"))*1.13++SUMIFS(周检修业务统计数据!L:L,周检修业务统计数据!B:B,B118,周检修业务统计数据!C:C,"干箱",周检修业务统计数据!D:D,"&lt;&gt;COS")*1.06</f>
        <v>0</v>
      </c>
      <c r="M118" s="86" t="e">
        <f>(L118-'2025年18周'!L118)/'2025年18周'!L118</f>
        <v>#DIV/0!</v>
      </c>
      <c r="N118" s="87" t="e">
        <f t="shared" si="28"/>
        <v>#DIV/0!</v>
      </c>
      <c r="O118" s="86" t="e">
        <f>(N118-'2025年18周'!N118)/'2025年18周'!N118</f>
        <v>#DIV/0!</v>
      </c>
      <c r="P118" s="88">
        <f>(SUMIFS(周检修业务统计数据!I:I,周检修业务统计数据!B:B,B118,周检修业务统计数据!C:C,"&lt;&gt;干箱")+SUMIFS(周检修业务统计数据!J:J,周检修业务统计数据!B:B,B118,周检修业务统计数据!C:C,"&lt;&gt;干箱"))*1.13++SUMIFS(周检修业务统计数据!L:L,周检修业务统计数据!B:B,B118,周检修业务统计数据!C:C,"&lt;&gt;干箱")*1.06</f>
        <v>0</v>
      </c>
      <c r="Q118" s="53"/>
      <c r="R118" s="53"/>
      <c r="S118" s="53">
        <f t="shared" si="29"/>
        <v>0</v>
      </c>
      <c r="T118" s="12">
        <f t="shared" si="30"/>
        <v>1</v>
      </c>
      <c r="U118" s="87">
        <f t="shared" si="31"/>
        <v>161</v>
      </c>
      <c r="V118" s="87" t="e">
        <f t="shared" si="32"/>
        <v>#DIV/0!</v>
      </c>
      <c r="W118" s="12"/>
      <c r="X118" s="144"/>
      <c r="Y118" s="130"/>
      <c r="Z118" s="53"/>
      <c r="AA118" s="53"/>
      <c r="AB118" s="53"/>
      <c r="AC118" s="237"/>
    </row>
    <row r="119" s="164" customFormat="1" spans="1:29">
      <c r="A119" s="13" t="s">
        <v>83</v>
      </c>
      <c r="B119" s="12" t="s">
        <v>95</v>
      </c>
      <c r="C119" s="12">
        <f>SUMIFS(周检修业务统计数据!E:E,周检修业务统计数据!B:B,B119,周检修业务统计数据!C:C,"干箱",周检修业务统计数据!D:D,"COS")</f>
        <v>11</v>
      </c>
      <c r="D119" s="12">
        <f>C119-'2025年18周'!C119</f>
        <v>-8</v>
      </c>
      <c r="E119" s="85">
        <f>(SUMIFS(周检修业务统计数据!I:I,周检修业务统计数据!B:B,B119,周检修业务统计数据!C:C,"干箱",周检修业务统计数据!D:D,"COS")+SUMIFS(周检修业务统计数据!J:J,周检修业务统计数据!B:B,B119,周检修业务统计数据!C:C,"干箱",周检修业务统计数据!D:D,"COS"))*1.13</f>
        <v>2915.9</v>
      </c>
      <c r="F119" s="86">
        <f>(E119-'2025年18周'!E119)/'2025年18周'!E119</f>
        <v>-0.289</v>
      </c>
      <c r="G119" s="87">
        <f t="shared" si="27"/>
        <v>265</v>
      </c>
      <c r="H119" s="86">
        <f>(G119-'2025年18周'!G119)/'2025年18周'!G119</f>
        <v>0.2269</v>
      </c>
      <c r="I119" s="12">
        <f>SUMIFS(周检修业务统计数据!L:L,周检修业务统计数据!B:B,B119,周检修业务统计数据!C:C,"干箱",周检修业务统计数据!D:D,"COS")*1.06</f>
        <v>784.9618</v>
      </c>
      <c r="J119" s="12">
        <f>SUMIFS(周检修业务统计数据!E:E,周检修业务统计数据!B:B,B119,周检修业务统计数据!C:C,"干箱",周检修业务统计数据!D:D,"&lt;&gt;COS")</f>
        <v>0</v>
      </c>
      <c r="K119" s="12">
        <f>J119-'2025年18周'!J119</f>
        <v>0</v>
      </c>
      <c r="L119" s="85">
        <f>(SUMIFS(周检修业务统计数据!I:I,周检修业务统计数据!B:B,B119,周检修业务统计数据!C:C,"干箱",周检修业务统计数据!D:D,"&lt;&gt;COS")+SUMIFS(周检修业务统计数据!J:J,周检修业务统计数据!B:B,B119,周检修业务统计数据!C:C,"干箱",周检修业务统计数据!D:D,"&lt;&gt;COS"))*1.13++SUMIFS(周检修业务统计数据!L:L,周检修业务统计数据!B:B,B119,周检修业务统计数据!C:C,"干箱",周检修业务统计数据!D:D,"&lt;&gt;COS")*1.06</f>
        <v>0</v>
      </c>
      <c r="M119" s="86" t="e">
        <f>(L119-'2025年18周'!L119)/'2025年18周'!L119</f>
        <v>#DIV/0!</v>
      </c>
      <c r="N119" s="87" t="e">
        <f t="shared" si="28"/>
        <v>#DIV/0!</v>
      </c>
      <c r="O119" s="86" t="e">
        <f>(N119-'2025年18周'!N119)/'2025年18周'!N119</f>
        <v>#DIV/0!</v>
      </c>
      <c r="P119" s="88">
        <f>(SUMIFS(周检修业务统计数据!I:I,周检修业务统计数据!B:B,B119,周检修业务统计数据!C:C,"&lt;&gt;干箱")+SUMIFS(周检修业务统计数据!J:J,周检修业务统计数据!B:B,B119,周检修业务统计数据!C:C,"&lt;&gt;干箱"))*1.13++SUMIFS(周检修业务统计数据!L:L,周检修业务统计数据!B:B,B119,周检修业务统计数据!C:C,"&lt;&gt;干箱")*1.06</f>
        <v>0</v>
      </c>
      <c r="Q119" s="53"/>
      <c r="R119" s="53"/>
      <c r="S119" s="53">
        <f t="shared" si="29"/>
        <v>0</v>
      </c>
      <c r="T119" s="12">
        <f t="shared" si="30"/>
        <v>11</v>
      </c>
      <c r="U119" s="87">
        <f t="shared" si="31"/>
        <v>3701</v>
      </c>
      <c r="V119" s="87" t="e">
        <f t="shared" si="32"/>
        <v>#DIV/0!</v>
      </c>
      <c r="W119" s="12"/>
      <c r="X119" s="144"/>
      <c r="Y119" s="130"/>
      <c r="Z119" s="53"/>
      <c r="AA119" s="53"/>
      <c r="AB119" s="53"/>
      <c r="AC119" s="237"/>
    </row>
    <row r="120" s="164" customFormat="1" spans="1:29">
      <c r="A120" s="13" t="s">
        <v>83</v>
      </c>
      <c r="B120" s="12" t="s">
        <v>96</v>
      </c>
      <c r="C120" s="12">
        <f>SUMIFS(周检修业务统计数据!E:E,周检修业务统计数据!B:B,B120,周检修业务统计数据!C:C,"干箱",周检修业务统计数据!D:D,"COS")</f>
        <v>1</v>
      </c>
      <c r="D120" s="12">
        <f>C120-'2025年18周'!C120</f>
        <v>1</v>
      </c>
      <c r="E120" s="85">
        <f>(SUMIFS(周检修业务统计数据!I:I,周检修业务统计数据!B:B,B120,周检修业务统计数据!C:C,"干箱",周检修业务统计数据!D:D,"COS")+SUMIFS(周检修业务统计数据!J:J,周检修业务统计数据!B:B,B120,周检修业务统计数据!C:C,"干箱",周检修业务统计数据!D:D,"COS"))*1.13</f>
        <v>33.44</v>
      </c>
      <c r="F120" s="86" t="e">
        <f>(E120-'2025年18周'!E120)/'2025年18周'!E120</f>
        <v>#DIV/0!</v>
      </c>
      <c r="G120" s="87">
        <f t="shared" si="27"/>
        <v>33</v>
      </c>
      <c r="H120" s="86" t="e">
        <f>(G120-'2025年18周'!G120)/'2025年18周'!G120</f>
        <v>#DIV/0!</v>
      </c>
      <c r="I120" s="12">
        <f>SUMIFS(周检修业务统计数据!L:L,周检修业务统计数据!B:B,B120,周检修业务统计数据!C:C,"干箱",周检修业务统计数据!D:D,"COS")*1.06</f>
        <v>55.0034</v>
      </c>
      <c r="J120" s="12">
        <f>SUMIFS(周检修业务统计数据!E:E,周检修业务统计数据!B:B,B120,周检修业务统计数据!C:C,"干箱",周检修业务统计数据!D:D,"&lt;&gt;COS")</f>
        <v>4</v>
      </c>
      <c r="K120" s="12">
        <f>J120-'2025年18周'!J120</f>
        <v>-47</v>
      </c>
      <c r="L120" s="85">
        <f>(SUMIFS(周检修业务统计数据!I:I,周检修业务统计数据!B:B,B120,周检修业务统计数据!C:C,"干箱",周检修业务统计数据!D:D,"&lt;&gt;COS")+SUMIFS(周检修业务统计数据!J:J,周检修业务统计数据!B:B,B120,周检修业务统计数据!C:C,"干箱",周检修业务统计数据!D:D,"&lt;&gt;COS"))*1.13++SUMIFS(周检修业务统计数据!L:L,周检修业务统计数据!B:B,B120,周检修业务统计数据!C:C,"干箱",周检修业务统计数据!D:D,"&lt;&gt;COS")*1.06</f>
        <v>1039.04</v>
      </c>
      <c r="M120" s="86">
        <f>(L120-'2025年18周'!L120)/'2025年18周'!L120</f>
        <v>-0.9227</v>
      </c>
      <c r="N120" s="87">
        <f t="shared" si="28"/>
        <v>260</v>
      </c>
      <c r="O120" s="86">
        <f>(N120-'2025年18周'!N120)/'2025年18周'!N120</f>
        <v>-0.0152</v>
      </c>
      <c r="P120" s="88">
        <f>(SUMIFS(周检修业务统计数据!I:I,周检修业务统计数据!B:B,B120,周检修业务统计数据!C:C,"&lt;&gt;干箱")+SUMIFS(周检修业务统计数据!J:J,周检修业务统计数据!B:B,B120,周检修业务统计数据!C:C,"&lt;&gt;干箱"))*1.13++SUMIFS(周检修业务统计数据!L:L,周检修业务统计数据!B:B,B120,周检修业务统计数据!C:C,"&lt;&gt;干箱")*1.06</f>
        <v>0</v>
      </c>
      <c r="Q120" s="53"/>
      <c r="R120" s="53"/>
      <c r="S120" s="53">
        <f t="shared" si="29"/>
        <v>0</v>
      </c>
      <c r="T120" s="12">
        <f t="shared" si="30"/>
        <v>5</v>
      </c>
      <c r="U120" s="87">
        <f t="shared" si="31"/>
        <v>1127</v>
      </c>
      <c r="V120" s="87" t="e">
        <f t="shared" si="32"/>
        <v>#DIV/0!</v>
      </c>
      <c r="W120" s="12"/>
      <c r="X120" s="144"/>
      <c r="Y120" s="130"/>
      <c r="Z120" s="53"/>
      <c r="AA120" s="53"/>
      <c r="AB120" s="53"/>
      <c r="AC120" s="237"/>
    </row>
    <row r="121" s="164" customFormat="1" spans="1:29">
      <c r="A121" s="13" t="s">
        <v>55</v>
      </c>
      <c r="B121" s="12" t="s">
        <v>97</v>
      </c>
      <c r="C121" s="12">
        <f>SUMIFS(周检修业务统计数据!E:E,周检修业务统计数据!B:B,B121,周检修业务统计数据!C:C,"干箱",周检修业务统计数据!D:D,"COS")</f>
        <v>33</v>
      </c>
      <c r="D121" s="12">
        <f>C121-'2025年18周'!C121</f>
        <v>-97</v>
      </c>
      <c r="E121" s="85">
        <f>(SUMIFS(周检修业务统计数据!I:I,周检修业务统计数据!B:B,B121,周检修业务统计数据!C:C,"干箱",周检修业务统计数据!D:D,"COS")+SUMIFS(周检修业务统计数据!J:J,周检修业务统计数据!B:B,B121,周检修业务统计数据!C:C,"干箱",周检修业务统计数据!D:D,"COS"))*1.13</f>
        <v>8777.35</v>
      </c>
      <c r="F121" s="86">
        <f>(E121-'2025年18周'!E121)/'2025年18周'!E121</f>
        <v>-0.718</v>
      </c>
      <c r="G121" s="87">
        <f t="shared" si="27"/>
        <v>266</v>
      </c>
      <c r="H121" s="86">
        <f>(G121-'2025年18周'!G121)/'2025年18周'!G121</f>
        <v>0.113</v>
      </c>
      <c r="I121" s="12">
        <f>SUMIFS(周检修业务统计数据!L:L,周检修业务统计数据!B:B,B121,周检修业务统计数据!C:C,"干箱",周检修业务统计数据!D:D,"COS")*1.06</f>
        <v>0</v>
      </c>
      <c r="J121" s="12">
        <f>SUMIFS(周检修业务统计数据!E:E,周检修业务统计数据!B:B,B121,周检修业务统计数据!C:C,"干箱",周检修业务统计数据!D:D,"&lt;&gt;COS")</f>
        <v>0</v>
      </c>
      <c r="K121" s="12">
        <f>J121-'2025年18周'!J121</f>
        <v>0</v>
      </c>
      <c r="L121" s="85">
        <f>(SUMIFS(周检修业务统计数据!I:I,周检修业务统计数据!B:B,B121,周检修业务统计数据!C:C,"干箱",周检修业务统计数据!D:D,"&lt;&gt;COS")+SUMIFS(周检修业务统计数据!J:J,周检修业务统计数据!B:B,B121,周检修业务统计数据!C:C,"干箱",周检修业务统计数据!D:D,"&lt;&gt;COS"))*1.13++SUMIFS(周检修业务统计数据!L:L,周检修业务统计数据!B:B,B121,周检修业务统计数据!C:C,"干箱",周检修业务统计数据!D:D,"&lt;&gt;COS")*1.06</f>
        <v>0</v>
      </c>
      <c r="M121" s="86" t="e">
        <f>(L121-'2025年18周'!L121)/'2025年18周'!L121</f>
        <v>#DIV/0!</v>
      </c>
      <c r="N121" s="87" t="e">
        <f t="shared" si="28"/>
        <v>#DIV/0!</v>
      </c>
      <c r="O121" s="86" t="e">
        <f>(N121-'2025年18周'!N121)/'2025年18周'!N121</f>
        <v>#DIV/0!</v>
      </c>
      <c r="P121" s="88">
        <f>(SUMIFS(周检修业务统计数据!I:I,周检修业务统计数据!B:B,B121,周检修业务统计数据!C:C,"&lt;&gt;干箱")+SUMIFS(周检修业务统计数据!J:J,周检修业务统计数据!B:B,B121,周检修业务统计数据!C:C,"&lt;&gt;干箱"))*1.13++SUMIFS(周检修业务统计数据!L:L,周检修业务统计数据!B:B,B121,周检修业务统计数据!C:C,"&lt;&gt;干箱")*1.06</f>
        <v>0</v>
      </c>
      <c r="Q121" s="53"/>
      <c r="R121" s="53"/>
      <c r="S121" s="53">
        <f t="shared" si="29"/>
        <v>0</v>
      </c>
      <c r="T121" s="12">
        <f t="shared" si="30"/>
        <v>33</v>
      </c>
      <c r="U121" s="87">
        <f t="shared" si="31"/>
        <v>8777</v>
      </c>
      <c r="V121" s="87" t="e">
        <f t="shared" si="32"/>
        <v>#DIV/0!</v>
      </c>
      <c r="W121" s="12"/>
      <c r="X121" s="144"/>
      <c r="Y121" s="130"/>
      <c r="Z121" s="53"/>
      <c r="AA121" s="53"/>
      <c r="AB121" s="53"/>
      <c r="AC121" s="237" t="s">
        <v>231</v>
      </c>
    </row>
    <row r="122" ht="15.6" customHeight="1" spans="1:29">
      <c r="A122" s="239" t="s">
        <v>98</v>
      </c>
      <c r="B122" s="6" t="s">
        <v>99</v>
      </c>
      <c r="C122" s="6">
        <f>SUMIFS(周检修业务统计数据!E:E,周检修业务统计数据!B:B,B122,周检修业务统计数据!C:C,"干箱",周检修业务统计数据!D:D,"COS")</f>
        <v>112</v>
      </c>
      <c r="D122" s="6">
        <f>C122-'2025年18周'!C122</f>
        <v>15</v>
      </c>
      <c r="E122" s="75">
        <f>(SUMIFS(周检修业务统计数据!I:I,周检修业务统计数据!B:B,B122,周检修业务统计数据!C:C,"干箱",周检修业务统计数据!D:D,"COS")+SUMIFS(周检修业务统计数据!J:J,周检修业务统计数据!B:B,B122,周检修业务统计数据!C:C,"干箱",周检修业务统计数据!D:D,"COS"))*1.13</f>
        <v>8786.24</v>
      </c>
      <c r="F122" s="76">
        <f>(E122-'2025年18周'!E122)/'2025年18周'!E122</f>
        <v>-0.3091</v>
      </c>
      <c r="G122" s="77">
        <f t="shared" si="27"/>
        <v>78</v>
      </c>
      <c r="H122" s="76">
        <f>(G122-'2025年18周'!G122)/'2025年18周'!G122</f>
        <v>-0.4046</v>
      </c>
      <c r="I122" s="6">
        <f>SUMIFS(周检修业务统计数据!L:L,周检修业务统计数据!B:B,B122,周检修业务统计数据!C:C,"干箱",周检修业务统计数据!D:D,"COS")*1.06</f>
        <v>6840.0952</v>
      </c>
      <c r="J122" s="6">
        <f>SUMIFS(周检修业务统计数据!E:E,周检修业务统计数据!B:B,B122,周检修业务统计数据!C:C,"干箱",周检修业务统计数据!D:D,"&lt;&gt;COS")</f>
        <v>0</v>
      </c>
      <c r="K122" s="6">
        <f>J122-'2025年18周'!J122</f>
        <v>0</v>
      </c>
      <c r="L122" s="75">
        <f>(SUMIFS(周检修业务统计数据!I:I,周检修业务统计数据!B:B,B122,周检修业务统计数据!C:C,"干箱",周检修业务统计数据!D:D,"&lt;&gt;COS")+SUMIFS(周检修业务统计数据!J:J,周检修业务统计数据!B:B,B122,周检修业务统计数据!C:C,"干箱",周检修业务统计数据!D:D,"&lt;&gt;COS"))*1.13++SUMIFS(周检修业务统计数据!L:L,周检修业务统计数据!B:B,B122,周检修业务统计数据!C:C,"干箱",周检修业务统计数据!D:D,"&lt;&gt;COS")*1.06</f>
        <v>0</v>
      </c>
      <c r="M122" s="76" t="e">
        <f>(L122-'2025年18周'!L122)/'2025年18周'!L122</f>
        <v>#DIV/0!</v>
      </c>
      <c r="N122" s="77" t="e">
        <f t="shared" si="28"/>
        <v>#DIV/0!</v>
      </c>
      <c r="O122" s="76" t="e">
        <f>(N122-'2025年18周'!N122)/'2025年18周'!N122</f>
        <v>#DIV/0!</v>
      </c>
      <c r="P122" s="78">
        <f>(SUMIFS(周检修业务统计数据!I:I,周检修业务统计数据!B:B,B122,周检修业务统计数据!C:C,"&lt;&gt;干箱")+SUMIFS(周检修业务统计数据!J:J,周检修业务统计数据!B:B,B122,周检修业务统计数据!C:C,"&lt;&gt;干箱"))*1.13++SUMIFS(周检修业务统计数据!L:L,周检修业务统计数据!B:B,B122,周检修业务统计数据!C:C,"&lt;&gt;干箱")*1.06</f>
        <v>0</v>
      </c>
      <c r="Q122" s="3"/>
      <c r="R122" s="3"/>
      <c r="S122" s="3">
        <f t="shared" si="29"/>
        <v>0</v>
      </c>
      <c r="T122" s="238">
        <f t="shared" si="30"/>
        <v>112</v>
      </c>
      <c r="U122" s="77">
        <f t="shared" si="31"/>
        <v>15626</v>
      </c>
      <c r="V122" s="77" t="e">
        <f t="shared" si="32"/>
        <v>#DIV/0!</v>
      </c>
      <c r="W122" s="6"/>
      <c r="X122" s="146"/>
      <c r="Y122" s="130"/>
      <c r="Z122" s="3"/>
      <c r="AA122" s="3"/>
      <c r="AB122" s="3"/>
      <c r="AC122" s="4"/>
    </row>
    <row r="123" ht="15.6" customHeight="1" spans="1:29">
      <c r="A123" s="239" t="s">
        <v>98</v>
      </c>
      <c r="B123" s="6" t="s">
        <v>100</v>
      </c>
      <c r="C123" s="6">
        <f>SUMIFS(周检修业务统计数据!E:E,周检修业务统计数据!B:B,B123,周检修业务统计数据!C:C,"干箱",周检修业务统计数据!D:D,"COS")</f>
        <v>117</v>
      </c>
      <c r="D123" s="6">
        <f>C123-'2025年18周'!C123</f>
        <v>33</v>
      </c>
      <c r="E123" s="75">
        <f>(SUMIFS(周检修业务统计数据!I:I,周检修业务统计数据!B:B,B123,周检修业务统计数据!C:C,"干箱",周检修业务统计数据!D:D,"COS")+SUMIFS(周检修业务统计数据!J:J,周检修业务统计数据!B:B,B123,周检修业务统计数据!C:C,"干箱",周检修业务统计数据!D:D,"COS"))*1.13</f>
        <v>14531.74</v>
      </c>
      <c r="F123" s="76">
        <f>(E123-'2025年18周'!E123)/'2025年18周'!E123</f>
        <v>-0.0782</v>
      </c>
      <c r="G123" s="77">
        <f t="shared" si="27"/>
        <v>124</v>
      </c>
      <c r="H123" s="76">
        <f>(G123-'2025年18周'!G123)/'2025年18周'!G123</f>
        <v>-0.3404</v>
      </c>
      <c r="I123" s="6">
        <f>SUMIFS(周检修业务统计数据!L:L,周检修业务统计数据!B:B,B123,周检修业务统计数据!C:C,"干箱",周检修业务统计数据!D:D,"COS")*1.06</f>
        <v>6995.1626</v>
      </c>
      <c r="J123" s="6">
        <f>SUMIFS(周检修业务统计数据!E:E,周检修业务统计数据!B:B,B123,周检修业务统计数据!C:C,"干箱",周检修业务统计数据!D:D,"&lt;&gt;COS")</f>
        <v>0</v>
      </c>
      <c r="K123" s="6">
        <f>J123-'2025年18周'!J123</f>
        <v>0</v>
      </c>
      <c r="L123" s="75">
        <f>(SUMIFS(周检修业务统计数据!I:I,周检修业务统计数据!B:B,B123,周检修业务统计数据!C:C,"干箱",周检修业务统计数据!D:D,"&lt;&gt;COS")+SUMIFS(周检修业务统计数据!J:J,周检修业务统计数据!B:B,B123,周检修业务统计数据!C:C,"干箱",周检修业务统计数据!D:D,"&lt;&gt;COS"))*1.13++SUMIFS(周检修业务统计数据!L:L,周检修业务统计数据!B:B,B123,周检修业务统计数据!C:C,"干箱",周检修业务统计数据!D:D,"&lt;&gt;COS")*1.06</f>
        <v>0</v>
      </c>
      <c r="M123" s="76" t="e">
        <f>(L123-'2025年18周'!L123)/'2025年18周'!L123</f>
        <v>#DIV/0!</v>
      </c>
      <c r="N123" s="77" t="e">
        <f t="shared" si="28"/>
        <v>#DIV/0!</v>
      </c>
      <c r="O123" s="76" t="e">
        <f>(N123-'2025年18周'!N123)/'2025年18周'!N123</f>
        <v>#DIV/0!</v>
      </c>
      <c r="P123" s="78">
        <f>(SUMIFS(周检修业务统计数据!I:I,周检修业务统计数据!B:B,B123,周检修业务统计数据!C:C,"&lt;&gt;干箱")+SUMIFS(周检修业务统计数据!J:J,周检修业务统计数据!B:B,B123,周检修业务统计数据!C:C,"&lt;&gt;干箱"))*1.13++SUMIFS(周检修业务统计数据!L:L,周检修业务统计数据!B:B,B123,周检修业务统计数据!C:C,"&lt;&gt;干箱")*1.06</f>
        <v>0</v>
      </c>
      <c r="Q123" s="3"/>
      <c r="R123" s="3"/>
      <c r="S123" s="3">
        <f t="shared" si="29"/>
        <v>0</v>
      </c>
      <c r="T123" s="238">
        <f t="shared" si="30"/>
        <v>117</v>
      </c>
      <c r="U123" s="77">
        <f t="shared" si="31"/>
        <v>21527</v>
      </c>
      <c r="V123" s="77" t="e">
        <f t="shared" si="32"/>
        <v>#DIV/0!</v>
      </c>
      <c r="W123" s="6"/>
      <c r="X123" s="146"/>
      <c r="Y123" s="130"/>
      <c r="Z123" s="3"/>
      <c r="AA123" s="3"/>
      <c r="AB123" s="3"/>
      <c r="AC123" s="4"/>
    </row>
    <row r="124" ht="15.6" customHeight="1" spans="1:29">
      <c r="A124" s="239" t="s">
        <v>98</v>
      </c>
      <c r="B124" s="6" t="s">
        <v>101</v>
      </c>
      <c r="C124" s="6">
        <f>SUMIFS(周检修业务统计数据!E:E,周检修业务统计数据!B:B,B124,周检修业务统计数据!C:C,"干箱",周检修业务统计数据!D:D,"COS")</f>
        <v>0</v>
      </c>
      <c r="D124" s="6">
        <f>C124-'2025年18周'!C124</f>
        <v>0</v>
      </c>
      <c r="E124" s="75">
        <f>(SUMIFS(周检修业务统计数据!I:I,周检修业务统计数据!B:B,B124,周检修业务统计数据!C:C,"干箱",周检修业务统计数据!D:D,"COS")+SUMIFS(周检修业务统计数据!J:J,周检修业务统计数据!B:B,B124,周检修业务统计数据!C:C,"干箱",周检修业务统计数据!D:D,"COS"))*1.13</f>
        <v>0</v>
      </c>
      <c r="F124" s="76" t="e">
        <f>(E124-'2025年18周'!E124)/'2025年18周'!E124</f>
        <v>#DIV/0!</v>
      </c>
      <c r="G124" s="77" t="e">
        <f t="shared" si="27"/>
        <v>#DIV/0!</v>
      </c>
      <c r="H124" s="76" t="e">
        <f>(G124-'2025年18周'!G124)/'2025年18周'!G124</f>
        <v>#DIV/0!</v>
      </c>
      <c r="I124" s="6">
        <f>SUMIFS(周检修业务统计数据!L:L,周检修业务统计数据!B:B,B124,周检修业务统计数据!C:C,"干箱",周检修业务统计数据!D:D,"COS")*1.06</f>
        <v>0</v>
      </c>
      <c r="J124" s="6">
        <f>SUMIFS(周检修业务统计数据!E:E,周检修业务统计数据!B:B,B124,周检修业务统计数据!C:C,"干箱",周检修业务统计数据!D:D,"&lt;&gt;COS")</f>
        <v>0</v>
      </c>
      <c r="K124" s="6">
        <f>J124-'2025年18周'!J124</f>
        <v>0</v>
      </c>
      <c r="L124" s="75">
        <f>(SUMIFS(周检修业务统计数据!I:I,周检修业务统计数据!B:B,B124,周检修业务统计数据!C:C,"干箱",周检修业务统计数据!D:D,"&lt;&gt;COS")+SUMIFS(周检修业务统计数据!J:J,周检修业务统计数据!B:B,B124,周检修业务统计数据!C:C,"干箱",周检修业务统计数据!D:D,"&lt;&gt;COS"))*1.13++SUMIFS(周检修业务统计数据!L:L,周检修业务统计数据!B:B,B124,周检修业务统计数据!C:C,"干箱",周检修业务统计数据!D:D,"&lt;&gt;COS")*1.06</f>
        <v>0</v>
      </c>
      <c r="M124" s="76" t="e">
        <f>(L124-'2025年18周'!L124)/'2025年18周'!L124</f>
        <v>#DIV/0!</v>
      </c>
      <c r="N124" s="77" t="e">
        <f t="shared" si="28"/>
        <v>#DIV/0!</v>
      </c>
      <c r="O124" s="76" t="e">
        <f>(N124-'2025年18周'!N124)/'2025年18周'!N124</f>
        <v>#DIV/0!</v>
      </c>
      <c r="P124" s="78">
        <f>(SUMIFS(周检修业务统计数据!I:I,周检修业务统计数据!B:B,B124,周检修业务统计数据!C:C,"&lt;&gt;干箱")+SUMIFS(周检修业务统计数据!J:J,周检修业务统计数据!B:B,B124,周检修业务统计数据!C:C,"&lt;&gt;干箱"))*1.13++SUMIFS(周检修业务统计数据!L:L,周检修业务统计数据!B:B,B124,周检修业务统计数据!C:C,"&lt;&gt;干箱")*1.06</f>
        <v>0</v>
      </c>
      <c r="Q124" s="3"/>
      <c r="R124" s="3"/>
      <c r="S124" s="3">
        <f t="shared" si="29"/>
        <v>0</v>
      </c>
      <c r="T124" s="238">
        <f t="shared" si="30"/>
        <v>0</v>
      </c>
      <c r="U124" s="77">
        <f t="shared" si="31"/>
        <v>0</v>
      </c>
      <c r="V124" s="77" t="e">
        <f t="shared" si="32"/>
        <v>#DIV/0!</v>
      </c>
      <c r="W124" s="6"/>
      <c r="X124" s="146"/>
      <c r="Y124" s="130"/>
      <c r="Z124" s="3"/>
      <c r="AA124" s="3"/>
      <c r="AB124" s="3"/>
      <c r="AC124" s="4" t="s">
        <v>232</v>
      </c>
    </row>
    <row r="125" spans="1:29">
      <c r="A125" s="239" t="s">
        <v>98</v>
      </c>
      <c r="B125" s="6" t="s">
        <v>102</v>
      </c>
      <c r="C125" s="6">
        <f>SUMIFS(周检修业务统计数据!E:E,周检修业务统计数据!B:B,B125,周检修业务统计数据!C:C,"干箱",周检修业务统计数据!D:D,"COS")</f>
        <v>0</v>
      </c>
      <c r="D125" s="6">
        <f>C125-'2025年18周'!C125</f>
        <v>-7</v>
      </c>
      <c r="E125" s="75">
        <f>(SUMIFS(周检修业务统计数据!I:I,周检修业务统计数据!B:B,B125,周检修业务统计数据!C:C,"干箱",周检修业务统计数据!D:D,"COS")+SUMIFS(周检修业务统计数据!J:J,周检修业务统计数据!B:B,B125,周检修业务统计数据!C:C,"干箱",周检修业务统计数据!D:D,"COS"))*1.13</f>
        <v>0</v>
      </c>
      <c r="F125" s="76">
        <f>(E125-'2025年18周'!E125)/'2025年18周'!E125</f>
        <v>-1</v>
      </c>
      <c r="G125" s="77" t="e">
        <f t="shared" si="27"/>
        <v>#DIV/0!</v>
      </c>
      <c r="H125" s="76" t="e">
        <f>(G125-'2025年18周'!G125)/'2025年18周'!G125</f>
        <v>#DIV/0!</v>
      </c>
      <c r="I125" s="6">
        <f>SUMIFS(周检修业务统计数据!L:L,周检修业务统计数据!B:B,B125,周检修业务统计数据!C:C,"干箱",周检修业务统计数据!D:D,"COS")*1.06</f>
        <v>0</v>
      </c>
      <c r="J125" s="6">
        <f>SUMIFS(周检修业务统计数据!E:E,周检修业务统计数据!B:B,B125,周检修业务统计数据!C:C,"干箱",周检修业务统计数据!D:D,"&lt;&gt;COS")</f>
        <v>0</v>
      </c>
      <c r="K125" s="6">
        <f>J125-'2025年18周'!J125</f>
        <v>0</v>
      </c>
      <c r="L125" s="75">
        <f>(SUMIFS(周检修业务统计数据!I:I,周检修业务统计数据!B:B,B125,周检修业务统计数据!C:C,"干箱",周检修业务统计数据!D:D,"&lt;&gt;COS")+SUMIFS(周检修业务统计数据!J:J,周检修业务统计数据!B:B,B125,周检修业务统计数据!C:C,"干箱",周检修业务统计数据!D:D,"&lt;&gt;COS"))*1.13++SUMIFS(周检修业务统计数据!L:L,周检修业务统计数据!B:B,B125,周检修业务统计数据!C:C,"干箱",周检修业务统计数据!D:D,"&lt;&gt;COS")*1.06</f>
        <v>0</v>
      </c>
      <c r="M125" s="76" t="e">
        <f>(L125-'2025年18周'!L125)/'2025年18周'!L125</f>
        <v>#DIV/0!</v>
      </c>
      <c r="N125" s="77" t="e">
        <f t="shared" si="28"/>
        <v>#DIV/0!</v>
      </c>
      <c r="O125" s="76" t="e">
        <f>(N125-'2025年18周'!N125)/'2025年18周'!N125</f>
        <v>#DIV/0!</v>
      </c>
      <c r="P125" s="78">
        <f>(SUMIFS(周检修业务统计数据!I:I,周检修业务统计数据!B:B,B125,周检修业务统计数据!C:C,"&lt;&gt;干箱")+SUMIFS(周检修业务统计数据!J:J,周检修业务统计数据!B:B,B125,周检修业务统计数据!C:C,"&lt;&gt;干箱"))*1.13++SUMIFS(周检修业务统计数据!L:L,周检修业务统计数据!B:B,B125,周检修业务统计数据!C:C,"&lt;&gt;干箱")*1.06</f>
        <v>0</v>
      </c>
      <c r="Q125" s="3"/>
      <c r="R125" s="3"/>
      <c r="S125" s="3">
        <f t="shared" si="29"/>
        <v>0</v>
      </c>
      <c r="T125" s="238">
        <f t="shared" si="30"/>
        <v>0</v>
      </c>
      <c r="U125" s="77">
        <f t="shared" si="31"/>
        <v>0</v>
      </c>
      <c r="V125" s="77" t="e">
        <f t="shared" si="32"/>
        <v>#DIV/0!</v>
      </c>
      <c r="W125" s="6"/>
      <c r="X125" s="146"/>
      <c r="Y125" s="130"/>
      <c r="Z125" s="3"/>
      <c r="AA125" s="3"/>
      <c r="AB125" s="3"/>
      <c r="AC125" s="4"/>
    </row>
    <row r="126" spans="1:29">
      <c r="A126" s="239" t="s">
        <v>98</v>
      </c>
      <c r="B126" s="6" t="s">
        <v>103</v>
      </c>
      <c r="C126" s="6">
        <f>SUMIFS(周检修业务统计数据!E:E,周检修业务统计数据!B:B,B126,周检修业务统计数据!C:C,"干箱",周检修业务统计数据!D:D,"COS")</f>
        <v>7</v>
      </c>
      <c r="D126" s="6">
        <f>C126-'2025年18周'!C126</f>
        <v>-1</v>
      </c>
      <c r="E126" s="75">
        <f>(SUMIFS(周检修业务统计数据!I:I,周检修业务统计数据!B:B,B126,周检修业务统计数据!C:C,"干箱",周检修业务统计数据!D:D,"COS")+SUMIFS(周检修业务统计数据!J:J,周检修业务统计数据!B:B,B126,周检修业务统计数据!C:C,"干箱",周检修业务统计数据!D:D,"COS"))*1.13</f>
        <v>401.26</v>
      </c>
      <c r="F126" s="76">
        <f>(E126-'2025年18周'!E126)/'2025年18周'!E126</f>
        <v>-0.1299</v>
      </c>
      <c r="G126" s="77">
        <f t="shared" si="27"/>
        <v>57</v>
      </c>
      <c r="H126" s="76">
        <f>(G126-'2025年18周'!G126)/'2025年18周'!G126</f>
        <v>-0.0172</v>
      </c>
      <c r="I126" s="6">
        <f>SUMIFS(周检修业务统计数据!L:L,周检修业务统计数据!B:B,B126,周检修业务统计数据!C:C,"干箱",周检修业务统计数据!D:D,"COS")*1.06</f>
        <v>444.9986</v>
      </c>
      <c r="J126" s="6">
        <f>SUMIFS(周检修业务统计数据!E:E,周检修业务统计数据!B:B,B126,周检修业务统计数据!C:C,"干箱",周检修业务统计数据!D:D,"&lt;&gt;COS")</f>
        <v>0</v>
      </c>
      <c r="K126" s="6">
        <f>J126-'2025年18周'!J126</f>
        <v>0</v>
      </c>
      <c r="L126" s="75">
        <f>(SUMIFS(周检修业务统计数据!I:I,周检修业务统计数据!B:B,B126,周检修业务统计数据!C:C,"干箱",周检修业务统计数据!D:D,"&lt;&gt;COS")+SUMIFS(周检修业务统计数据!J:J,周检修业务统计数据!B:B,B126,周检修业务统计数据!C:C,"干箱",周检修业务统计数据!D:D,"&lt;&gt;COS"))*1.13++SUMIFS(周检修业务统计数据!L:L,周检修业务统计数据!B:B,B126,周检修业务统计数据!C:C,"干箱",周检修业务统计数据!D:D,"&lt;&gt;COS")*1.06</f>
        <v>0</v>
      </c>
      <c r="M126" s="76" t="e">
        <f>(L126-'2025年18周'!L126)/'2025年18周'!L126</f>
        <v>#DIV/0!</v>
      </c>
      <c r="N126" s="77" t="e">
        <f t="shared" si="28"/>
        <v>#DIV/0!</v>
      </c>
      <c r="O126" s="76" t="e">
        <f>(N126-'2025年18周'!N126)/'2025年18周'!N126</f>
        <v>#DIV/0!</v>
      </c>
      <c r="P126" s="78">
        <f>(SUMIFS(周检修业务统计数据!I:I,周检修业务统计数据!B:B,B126,周检修业务统计数据!C:C,"&lt;&gt;干箱")+SUMIFS(周检修业务统计数据!J:J,周检修业务统计数据!B:B,B126,周检修业务统计数据!C:C,"&lt;&gt;干箱"))*1.13++SUMIFS(周检修业务统计数据!L:L,周检修业务统计数据!B:B,B126,周检修业务统计数据!C:C,"&lt;&gt;干箱")*1.06</f>
        <v>0</v>
      </c>
      <c r="Q126" s="3"/>
      <c r="R126" s="3"/>
      <c r="S126" s="3">
        <f t="shared" si="29"/>
        <v>0</v>
      </c>
      <c r="T126" s="238">
        <f t="shared" si="30"/>
        <v>7</v>
      </c>
      <c r="U126" s="77">
        <f t="shared" si="31"/>
        <v>846</v>
      </c>
      <c r="V126" s="77" t="e">
        <f t="shared" si="32"/>
        <v>#DIV/0!</v>
      </c>
      <c r="W126" s="6"/>
      <c r="X126" s="146"/>
      <c r="Y126" s="130"/>
      <c r="Z126" s="3"/>
      <c r="AA126" s="3"/>
      <c r="AB126" s="3"/>
      <c r="AC126" s="4"/>
    </row>
    <row r="127" ht="15.6" customHeight="1" spans="1:29">
      <c r="A127" s="239" t="s">
        <v>98</v>
      </c>
      <c r="B127" s="6" t="s">
        <v>104</v>
      </c>
      <c r="C127" s="6">
        <f>SUMIFS(周检修业务统计数据!E:E,周检修业务统计数据!B:B,B127,周检修业务统计数据!C:C,"干箱",周检修业务统计数据!D:D,"COS")</f>
        <v>2</v>
      </c>
      <c r="D127" s="6">
        <f>C127-'2025年18周'!C127</f>
        <v>-3</v>
      </c>
      <c r="E127" s="75">
        <f>(SUMIFS(周检修业务统计数据!I:I,周检修业务统计数据!B:B,B127,周检修业务统计数据!C:C,"干箱",周检修业务统计数据!D:D,"COS")+SUMIFS(周检修业务统计数据!J:J,周检修业务统计数据!B:B,B127,周检修业务统计数据!C:C,"干箱",周检修业务统计数据!D:D,"COS"))*1.13</f>
        <v>355.14</v>
      </c>
      <c r="F127" s="76">
        <f>(E127-'2025年18周'!E127)/'2025年18周'!E127</f>
        <v>-0.8137</v>
      </c>
      <c r="G127" s="77">
        <f t="shared" si="27"/>
        <v>178</v>
      </c>
      <c r="H127" s="76">
        <f>(G127-'2025年18周'!G127)/'2025年18周'!G127</f>
        <v>-0.5328</v>
      </c>
      <c r="I127" s="6">
        <f>SUMIFS(周检修业务统计数据!L:L,周检修业务统计数据!B:B,B127,周检修业务统计数据!C:C,"干箱",周检修业务统计数据!D:D,"COS")*1.06</f>
        <v>149.99</v>
      </c>
      <c r="J127" s="6">
        <f>SUMIFS(周检修业务统计数据!E:E,周检修业务统计数据!B:B,B127,周检修业务统计数据!C:C,"干箱",周检修业务统计数据!D:D,"&lt;&gt;COS")</f>
        <v>0</v>
      </c>
      <c r="K127" s="6">
        <f>J127-'2025年18周'!J127</f>
        <v>0</v>
      </c>
      <c r="L127" s="75">
        <f>(SUMIFS(周检修业务统计数据!I:I,周检修业务统计数据!B:B,B127,周检修业务统计数据!C:C,"干箱",周检修业务统计数据!D:D,"&lt;&gt;COS")+SUMIFS(周检修业务统计数据!J:J,周检修业务统计数据!B:B,B127,周检修业务统计数据!C:C,"干箱",周检修业务统计数据!D:D,"&lt;&gt;COS"))*1.13++SUMIFS(周检修业务统计数据!L:L,周检修业务统计数据!B:B,B127,周检修业务统计数据!C:C,"干箱",周检修业务统计数据!D:D,"&lt;&gt;COS")*1.06</f>
        <v>0</v>
      </c>
      <c r="M127" s="76" t="e">
        <f>(L127-'2025年18周'!L127)/'2025年18周'!L127</f>
        <v>#DIV/0!</v>
      </c>
      <c r="N127" s="77" t="e">
        <f t="shared" si="28"/>
        <v>#DIV/0!</v>
      </c>
      <c r="O127" s="76" t="e">
        <f>(N127-'2025年18周'!N127)/'2025年18周'!N127</f>
        <v>#DIV/0!</v>
      </c>
      <c r="P127" s="78">
        <f>(SUMIFS(周检修业务统计数据!I:I,周检修业务统计数据!B:B,B127,周检修业务统计数据!C:C,"&lt;&gt;干箱")+SUMIFS(周检修业务统计数据!J:J,周检修业务统计数据!B:B,B127,周检修业务统计数据!C:C,"&lt;&gt;干箱"))*1.13++SUMIFS(周检修业务统计数据!L:L,周检修业务统计数据!B:B,B127,周检修业务统计数据!C:C,"&lt;&gt;干箱")*1.06</f>
        <v>0</v>
      </c>
      <c r="Q127" s="3"/>
      <c r="R127" s="3"/>
      <c r="S127" s="3">
        <f t="shared" si="29"/>
        <v>0</v>
      </c>
      <c r="T127" s="238">
        <f t="shared" si="30"/>
        <v>2</v>
      </c>
      <c r="U127" s="77">
        <f t="shared" si="31"/>
        <v>505</v>
      </c>
      <c r="V127" s="77" t="e">
        <f t="shared" si="32"/>
        <v>#DIV/0!</v>
      </c>
      <c r="W127" s="6"/>
      <c r="X127" s="146"/>
      <c r="Y127" s="130"/>
      <c r="Z127" s="3"/>
      <c r="AA127" s="3"/>
      <c r="AB127" s="3"/>
      <c r="AC127" s="4"/>
    </row>
    <row r="128" ht="15.6" customHeight="1" spans="1:29">
      <c r="A128" s="239" t="s">
        <v>98</v>
      </c>
      <c r="B128" s="6" t="s">
        <v>105</v>
      </c>
      <c r="C128" s="6">
        <f>SUMIFS(周检修业务统计数据!E:E,周检修业务统计数据!B:B,B128,周检修业务统计数据!C:C,"干箱",周检修业务统计数据!D:D,"COS")</f>
        <v>29</v>
      </c>
      <c r="D128" s="6">
        <f>C128-'2025年18周'!C128</f>
        <v>-60</v>
      </c>
      <c r="E128" s="75">
        <f>(SUMIFS(周检修业务统计数据!I:I,周检修业务统计数据!B:B,B128,周检修业务统计数据!C:C,"干箱",周检修业务统计数据!D:D,"COS")+SUMIFS(周检修业务统计数据!J:J,周检修业务统计数据!B:B,B128,周检修业务统计数据!C:C,"干箱",周检修业务统计数据!D:D,"COS"))*1.13</f>
        <v>2413.25</v>
      </c>
      <c r="F128" s="76">
        <f>(E128-'2025年18周'!E128)/'2025年18周'!E128</f>
        <v>-0.8055</v>
      </c>
      <c r="G128" s="77">
        <f t="shared" si="27"/>
        <v>83</v>
      </c>
      <c r="H128" s="76">
        <f>(G128-'2025年18周'!G128)/'2025年18周'!G128</f>
        <v>-0.4029</v>
      </c>
      <c r="I128" s="6">
        <f>SUMIFS(周检修业务统计数据!L:L,周检修业务统计数据!B:B,B128,周检修业务统计数据!C:C,"干箱",周检修业务统计数据!D:D,"COS")*1.06</f>
        <v>2154.8634</v>
      </c>
      <c r="J128" s="6">
        <f>SUMIFS(周检修业务统计数据!E:E,周检修业务统计数据!B:B,B128,周检修业务统计数据!C:C,"干箱",周检修业务统计数据!D:D,"&lt;&gt;COS")</f>
        <v>0</v>
      </c>
      <c r="K128" s="6">
        <f>J128-'2025年18周'!J128</f>
        <v>0</v>
      </c>
      <c r="L128" s="75">
        <f>(SUMIFS(周检修业务统计数据!I:I,周检修业务统计数据!B:B,B128,周检修业务统计数据!C:C,"干箱",周检修业务统计数据!D:D,"&lt;&gt;COS")+SUMIFS(周检修业务统计数据!J:J,周检修业务统计数据!B:B,B128,周检修业务统计数据!C:C,"干箱",周检修业务统计数据!D:D,"&lt;&gt;COS"))*1.13++SUMIFS(周检修业务统计数据!L:L,周检修业务统计数据!B:B,B128,周检修业务统计数据!C:C,"干箱",周检修业务统计数据!D:D,"&lt;&gt;COS")*1.06</f>
        <v>0</v>
      </c>
      <c r="M128" s="76" t="e">
        <f>(L128-'2025年18周'!L128)/'2025年18周'!L128</f>
        <v>#DIV/0!</v>
      </c>
      <c r="N128" s="77" t="e">
        <f t="shared" si="28"/>
        <v>#DIV/0!</v>
      </c>
      <c r="O128" s="76" t="e">
        <f>(N128-'2025年18周'!N128)/'2025年18周'!N128</f>
        <v>#DIV/0!</v>
      </c>
      <c r="P128" s="78">
        <f>(SUMIFS(周检修业务统计数据!I:I,周检修业务统计数据!B:B,B128,周检修业务统计数据!C:C,"&lt;&gt;干箱")+SUMIFS(周检修业务统计数据!J:J,周检修业务统计数据!B:B,B128,周检修业务统计数据!C:C,"&lt;&gt;干箱"))*1.13++SUMIFS(周检修业务统计数据!L:L,周检修业务统计数据!B:B,B128,周检修业务统计数据!C:C,"&lt;&gt;干箱")*1.06</f>
        <v>0</v>
      </c>
      <c r="Q128" s="3"/>
      <c r="R128" s="3"/>
      <c r="S128" s="3">
        <f t="shared" si="29"/>
        <v>0</v>
      </c>
      <c r="T128" s="238">
        <f t="shared" si="30"/>
        <v>29</v>
      </c>
      <c r="U128" s="77">
        <f t="shared" si="31"/>
        <v>4568</v>
      </c>
      <c r="V128" s="77" t="e">
        <f t="shared" si="32"/>
        <v>#DIV/0!</v>
      </c>
      <c r="W128" s="6"/>
      <c r="X128" s="146"/>
      <c r="Y128" s="130"/>
      <c r="Z128" s="3"/>
      <c r="AA128" s="3"/>
      <c r="AB128" s="3"/>
      <c r="AC128" s="4"/>
    </row>
    <row r="129" ht="15.6" customHeight="1" spans="1:29">
      <c r="A129" s="239" t="s">
        <v>98</v>
      </c>
      <c r="B129" s="6" t="s">
        <v>106</v>
      </c>
      <c r="C129" s="6">
        <f>SUMIFS(周检修业务统计数据!E:E,周检修业务统计数据!B:B,B129,周检修业务统计数据!C:C,"干箱",周检修业务统计数据!D:D,"COS")</f>
        <v>22</v>
      </c>
      <c r="D129" s="6">
        <f>C129-'2025年18周'!C129</f>
        <v>0</v>
      </c>
      <c r="E129" s="75">
        <f>(SUMIFS(周检修业务统计数据!I:I,周检修业务统计数据!B:B,B129,周检修业务统计数据!C:C,"干箱",周检修业务统计数据!D:D,"COS")+SUMIFS(周检修业务统计数据!J:J,周检修业务统计数据!B:B,B129,周检修业务统计数据!C:C,"干箱",周检修业务统计数据!D:D,"COS"))*1.13</f>
        <v>516.29</v>
      </c>
      <c r="F129" s="76">
        <f>(E129-'2025年18周'!E129)/'2025年18周'!E129</f>
        <v>-0.5355</v>
      </c>
      <c r="G129" s="77">
        <f t="shared" si="27"/>
        <v>23</v>
      </c>
      <c r="H129" s="76">
        <f>(G129-'2025年18周'!G129)/'2025年18周'!G129</f>
        <v>-0.549</v>
      </c>
      <c r="I129" s="6">
        <f>SUMIFS(周检修业务统计数据!L:L,周检修业务统计数据!B:B,B129,周检修业务统计数据!C:C,"干箱",周检修业务统计数据!D:D,"COS")*1.06</f>
        <v>1649.89</v>
      </c>
      <c r="J129" s="6">
        <f>SUMIFS(周检修业务统计数据!E:E,周检修业务统计数据!B:B,B129,周检修业务统计数据!C:C,"干箱",周检修业务统计数据!D:D,"&lt;&gt;COS")</f>
        <v>0</v>
      </c>
      <c r="K129" s="6">
        <f>J129-'2025年18周'!J129</f>
        <v>0</v>
      </c>
      <c r="L129" s="75">
        <f>(SUMIFS(周检修业务统计数据!I:I,周检修业务统计数据!B:B,B129,周检修业务统计数据!C:C,"干箱",周检修业务统计数据!D:D,"&lt;&gt;COS")+SUMIFS(周检修业务统计数据!J:J,周检修业务统计数据!B:B,B129,周检修业务统计数据!C:C,"干箱",周检修业务统计数据!D:D,"&lt;&gt;COS"))*1.13++SUMIFS(周检修业务统计数据!L:L,周检修业务统计数据!B:B,B129,周检修业务统计数据!C:C,"干箱",周检修业务统计数据!D:D,"&lt;&gt;COS")*1.06</f>
        <v>0</v>
      </c>
      <c r="M129" s="76" t="e">
        <f>(L129-'2025年18周'!L129)/'2025年18周'!L129</f>
        <v>#DIV/0!</v>
      </c>
      <c r="N129" s="77" t="e">
        <f t="shared" si="28"/>
        <v>#DIV/0!</v>
      </c>
      <c r="O129" s="76" t="e">
        <f>(N129-'2025年18周'!N129)/'2025年18周'!N129</f>
        <v>#DIV/0!</v>
      </c>
      <c r="P129" s="78">
        <f>(SUMIFS(周检修业务统计数据!I:I,周检修业务统计数据!B:B,B129,周检修业务统计数据!C:C,"&lt;&gt;干箱")+SUMIFS(周检修业务统计数据!J:J,周检修业务统计数据!B:B,B129,周检修业务统计数据!C:C,"&lt;&gt;干箱"))*1.13++SUMIFS(周检修业务统计数据!L:L,周检修业务统计数据!B:B,B129,周检修业务统计数据!C:C,"&lt;&gt;干箱")*1.06</f>
        <v>0</v>
      </c>
      <c r="Q129" s="3"/>
      <c r="R129" s="3"/>
      <c r="S129" s="3">
        <f t="shared" si="29"/>
        <v>0</v>
      </c>
      <c r="T129" s="238">
        <f t="shared" si="30"/>
        <v>22</v>
      </c>
      <c r="U129" s="77">
        <f t="shared" si="31"/>
        <v>2166</v>
      </c>
      <c r="V129" s="77" t="e">
        <f t="shared" si="32"/>
        <v>#DIV/0!</v>
      </c>
      <c r="W129" s="6"/>
      <c r="X129" s="146"/>
      <c r="Y129" s="130"/>
      <c r="Z129" s="3"/>
      <c r="AA129" s="3"/>
      <c r="AB129" s="3"/>
      <c r="AC129" s="4"/>
    </row>
    <row r="130" ht="15.6" customHeight="1" spans="1:29">
      <c r="A130" s="239" t="s">
        <v>98</v>
      </c>
      <c r="B130" s="6" t="s">
        <v>107</v>
      </c>
      <c r="C130" s="6">
        <f>SUMIFS(周检修业务统计数据!E:E,周检修业务统计数据!B:B,B130,周检修业务统计数据!C:C,"干箱",周检修业务统计数据!D:D,"COS")</f>
        <v>6</v>
      </c>
      <c r="D130" s="6">
        <f>C130-'2025年18周'!C130</f>
        <v>-22</v>
      </c>
      <c r="E130" s="75">
        <f>(SUMIFS(周检修业务统计数据!I:I,周检修业务统计数据!B:B,B130,周检修业务统计数据!C:C,"干箱",周检修业务统计数据!D:D,"COS")+SUMIFS(周检修业务统计数据!J:J,周检修业务统计数据!B:B,B130,周检修业务统计数据!C:C,"干箱",周检修业务统计数据!D:D,"COS"))*1.13</f>
        <v>1233.58</v>
      </c>
      <c r="F130" s="76">
        <f>(E130-'2025年18周'!E130)/'2025年18周'!E130</f>
        <v>-0.6775</v>
      </c>
      <c r="G130" s="77">
        <f t="shared" si="27"/>
        <v>206</v>
      </c>
      <c r="H130" s="76">
        <f>(G130-'2025年18周'!G130)/'2025年18周'!G130</f>
        <v>0.5036</v>
      </c>
      <c r="I130" s="6">
        <f>SUMIFS(周检修业务统计数据!L:L,周检修业务统计数据!B:B,B130,周检修业务统计数据!C:C,"干箱",周检修业务统计数据!D:D,"COS")*1.06</f>
        <v>389.9952</v>
      </c>
      <c r="J130" s="6">
        <f>SUMIFS(周检修业务统计数据!E:E,周检修业务统计数据!B:B,B130,周检修业务统计数据!C:C,"干箱",周检修业务统计数据!D:D,"&lt;&gt;COS")</f>
        <v>0</v>
      </c>
      <c r="K130" s="6">
        <f>J130-'2025年18周'!J130</f>
        <v>0</v>
      </c>
      <c r="L130" s="75">
        <f>(SUMIFS(周检修业务统计数据!I:I,周检修业务统计数据!B:B,B130,周检修业务统计数据!C:C,"干箱",周检修业务统计数据!D:D,"&lt;&gt;COS")+SUMIFS(周检修业务统计数据!J:J,周检修业务统计数据!B:B,B130,周检修业务统计数据!C:C,"干箱",周检修业务统计数据!D:D,"&lt;&gt;COS"))*1.13++SUMIFS(周检修业务统计数据!L:L,周检修业务统计数据!B:B,B130,周检修业务统计数据!C:C,"干箱",周检修业务统计数据!D:D,"&lt;&gt;COS")*1.06</f>
        <v>0</v>
      </c>
      <c r="M130" s="76" t="e">
        <f>(L130-'2025年18周'!L130)/'2025年18周'!L130</f>
        <v>#DIV/0!</v>
      </c>
      <c r="N130" s="77" t="e">
        <f t="shared" si="28"/>
        <v>#DIV/0!</v>
      </c>
      <c r="O130" s="76" t="e">
        <f>(N130-'2025年18周'!N130)/'2025年18周'!N130</f>
        <v>#DIV/0!</v>
      </c>
      <c r="P130" s="78">
        <f>(SUMIFS(周检修业务统计数据!I:I,周检修业务统计数据!B:B,B130,周检修业务统计数据!C:C,"&lt;&gt;干箱")+SUMIFS(周检修业务统计数据!J:J,周检修业务统计数据!B:B,B130,周检修业务统计数据!C:C,"&lt;&gt;干箱"))*1.13++SUMIFS(周检修业务统计数据!L:L,周检修业务统计数据!B:B,B130,周检修业务统计数据!C:C,"&lt;&gt;干箱")*1.06</f>
        <v>0</v>
      </c>
      <c r="Q130" s="3"/>
      <c r="R130" s="3"/>
      <c r="S130" s="3">
        <f t="shared" si="29"/>
        <v>0</v>
      </c>
      <c r="T130" s="238">
        <f t="shared" si="30"/>
        <v>6</v>
      </c>
      <c r="U130" s="77">
        <f t="shared" si="31"/>
        <v>1624</v>
      </c>
      <c r="V130" s="77" t="e">
        <f t="shared" si="32"/>
        <v>#DIV/0!</v>
      </c>
      <c r="W130" s="6"/>
      <c r="X130" s="146"/>
      <c r="Y130" s="130"/>
      <c r="Z130" s="3"/>
      <c r="AA130" s="3"/>
      <c r="AB130" s="3"/>
      <c r="AC130" s="4"/>
    </row>
    <row r="131" s="164" customFormat="1" ht="15.6" customHeight="1" spans="1:29">
      <c r="A131" s="11" t="s">
        <v>108</v>
      </c>
      <c r="B131" s="12" t="s">
        <v>109</v>
      </c>
      <c r="C131" s="12">
        <f>SUMIFS(周检修业务统计数据!E:E,周检修业务统计数据!B:B,B131,周检修业务统计数据!C:C,"干箱",周检修业务统计数据!D:D,"COS")</f>
        <v>112</v>
      </c>
      <c r="D131" s="12">
        <f>C131-'2025年18周'!C131</f>
        <v>17</v>
      </c>
      <c r="E131" s="85">
        <f>(SUMIFS(周检修业务统计数据!I:I,周检修业务统计数据!B:B,B131,周检修业务统计数据!C:C,"干箱",周检修业务统计数据!D:D,"COS")+SUMIFS(周检修业务统计数据!J:J,周检修业务统计数据!B:B,B131,周检修业务统计数据!C:C,"干箱",周检修业务统计数据!D:D,"COS"))*1.13</f>
        <v>35582.12</v>
      </c>
      <c r="F131" s="86">
        <f>(E131-'2025年18周'!E131)/'2025年18周'!E131</f>
        <v>0.1542</v>
      </c>
      <c r="G131" s="87">
        <f t="shared" si="27"/>
        <v>318</v>
      </c>
      <c r="H131" s="86">
        <f>(G131-'2025年18周'!G131)/'2025年18周'!G131</f>
        <v>-0.0215</v>
      </c>
      <c r="I131" s="12">
        <f>SUMIFS(周检修业务统计数据!L:L,周检修业务统计数据!B:B,B131,周检修业务统计数据!C:C,"干箱",周检修业务统计数据!D:D,"COS")*1.06</f>
        <v>6160.3808</v>
      </c>
      <c r="J131" s="12">
        <f>SUMIFS(周检修业务统计数据!E:E,周检修业务统计数据!B:B,B131,周检修业务统计数据!C:C,"干箱",周检修业务统计数据!D:D,"&lt;&gt;COS")</f>
        <v>0</v>
      </c>
      <c r="K131" s="12">
        <f>J131-'2025年18周'!J131</f>
        <v>0</v>
      </c>
      <c r="L131" s="85">
        <f>(SUMIFS(周检修业务统计数据!I:I,周检修业务统计数据!B:B,B131,周检修业务统计数据!C:C,"干箱",周检修业务统计数据!D:D,"&lt;&gt;COS")+SUMIFS(周检修业务统计数据!J:J,周检修业务统计数据!B:B,B131,周检修业务统计数据!C:C,"干箱",周检修业务统计数据!D:D,"&lt;&gt;COS"))*1.13++SUMIFS(周检修业务统计数据!L:L,周检修业务统计数据!B:B,B131,周检修业务统计数据!C:C,"干箱",周检修业务统计数据!D:D,"&lt;&gt;COS")*1.06</f>
        <v>0</v>
      </c>
      <c r="M131" s="86" t="e">
        <f>(L131-'2025年18周'!L131)/'2025年18周'!L131</f>
        <v>#DIV/0!</v>
      </c>
      <c r="N131" s="87" t="e">
        <f t="shared" si="28"/>
        <v>#DIV/0!</v>
      </c>
      <c r="O131" s="86" t="e">
        <f>(N131-'2025年18周'!N131)/'2025年18周'!N131</f>
        <v>#DIV/0!</v>
      </c>
      <c r="P131" s="88">
        <f>(SUMIFS(周检修业务统计数据!I:I,周检修业务统计数据!B:B,B131,周检修业务统计数据!C:C,"&lt;&gt;干箱")+SUMIFS(周检修业务统计数据!J:J,周检修业务统计数据!B:B,B131,周检修业务统计数据!C:C,"&lt;&gt;干箱"))*1.13++SUMIFS(周检修业务统计数据!L:L,周检修业务统计数据!B:B,B131,周检修业务统计数据!C:C,"&lt;&gt;干箱")*1.06</f>
        <v>0</v>
      </c>
      <c r="Q131" s="53"/>
      <c r="R131" s="53"/>
      <c r="S131" s="53">
        <f t="shared" si="29"/>
        <v>0</v>
      </c>
      <c r="T131" s="12">
        <f t="shared" si="30"/>
        <v>112</v>
      </c>
      <c r="U131" s="87">
        <f t="shared" si="31"/>
        <v>41743</v>
      </c>
      <c r="V131" s="87" t="e">
        <f t="shared" si="32"/>
        <v>#DIV/0!</v>
      </c>
      <c r="W131" s="12"/>
      <c r="X131" s="144"/>
      <c r="Y131" s="130"/>
      <c r="Z131" s="53"/>
      <c r="AA131" s="53"/>
      <c r="AB131" s="53"/>
      <c r="AC131" s="237"/>
    </row>
    <row r="132" s="164" customFormat="1" ht="15.6" customHeight="1" spans="1:29">
      <c r="A132" s="11" t="s">
        <v>108</v>
      </c>
      <c r="B132" s="12" t="s">
        <v>110</v>
      </c>
      <c r="C132" s="12">
        <f>SUMIFS(周检修业务统计数据!E:E,周检修业务统计数据!B:B,B132,周检修业务统计数据!C:C,"干箱",周检修业务统计数据!D:D,"COS")</f>
        <v>14</v>
      </c>
      <c r="D132" s="12">
        <f>C132-'2025年18周'!C132</f>
        <v>-8</v>
      </c>
      <c r="E132" s="85">
        <f>(SUMIFS(周检修业务统计数据!I:I,周检修业务统计数据!B:B,B132,周检修业务统计数据!C:C,"干箱",周检修业务统计数据!D:D,"COS")+SUMIFS(周检修业务统计数据!J:J,周检修业务统计数据!B:B,B132,周检修业务统计数据!C:C,"干箱",周检修业务统计数据!D:D,"COS"))*1.13</f>
        <v>2071.6</v>
      </c>
      <c r="F132" s="86">
        <f>(E132-'2025年18周'!E132)/'2025年18周'!E132</f>
        <v>-0.4891</v>
      </c>
      <c r="G132" s="87">
        <f t="shared" si="27"/>
        <v>148</v>
      </c>
      <c r="H132" s="86">
        <f>(G132-'2025年18周'!G132)/'2025年18周'!G132</f>
        <v>-0.1957</v>
      </c>
      <c r="I132" s="12">
        <f>SUMIFS(周检修业务统计数据!L:L,周检修业务统计数据!B:B,B132,周检修业务统计数据!C:C,"干箱",周检修业务统计数据!D:D,"COS")*1.06</f>
        <v>770.0476</v>
      </c>
      <c r="J132" s="12">
        <f>SUMIFS(周检修业务统计数据!E:E,周检修业务统计数据!B:B,B132,周检修业务统计数据!C:C,"干箱",周检修业务统计数据!D:D,"&lt;&gt;COS")</f>
        <v>0</v>
      </c>
      <c r="K132" s="12">
        <f>J132-'2025年18周'!J132</f>
        <v>0</v>
      </c>
      <c r="L132" s="85">
        <f>(SUMIFS(周检修业务统计数据!I:I,周检修业务统计数据!B:B,B132,周检修业务统计数据!C:C,"干箱",周检修业务统计数据!D:D,"&lt;&gt;COS")+SUMIFS(周检修业务统计数据!J:J,周检修业务统计数据!B:B,B132,周检修业务统计数据!C:C,"干箱",周检修业务统计数据!D:D,"&lt;&gt;COS"))*1.13++SUMIFS(周检修业务统计数据!L:L,周检修业务统计数据!B:B,B132,周检修业务统计数据!C:C,"干箱",周检修业务统计数据!D:D,"&lt;&gt;COS")*1.06</f>
        <v>0</v>
      </c>
      <c r="M132" s="86" t="e">
        <f>(L132-'2025年18周'!L132)/'2025年18周'!L132</f>
        <v>#DIV/0!</v>
      </c>
      <c r="N132" s="87" t="e">
        <f t="shared" si="28"/>
        <v>#DIV/0!</v>
      </c>
      <c r="O132" s="86" t="e">
        <f>(N132-'2025年18周'!N132)/'2025年18周'!N132</f>
        <v>#DIV/0!</v>
      </c>
      <c r="P132" s="88">
        <f>(SUMIFS(周检修业务统计数据!I:I,周检修业务统计数据!B:B,B132,周检修业务统计数据!C:C,"&lt;&gt;干箱")+SUMIFS(周检修业务统计数据!J:J,周检修业务统计数据!B:B,B132,周检修业务统计数据!C:C,"&lt;&gt;干箱"))*1.13++SUMIFS(周检修业务统计数据!L:L,周检修业务统计数据!B:B,B132,周检修业务统计数据!C:C,"&lt;&gt;干箱")*1.06</f>
        <v>0</v>
      </c>
      <c r="Q132" s="53"/>
      <c r="R132" s="53"/>
      <c r="S132" s="53">
        <f t="shared" si="29"/>
        <v>0</v>
      </c>
      <c r="T132" s="12">
        <f t="shared" si="30"/>
        <v>14</v>
      </c>
      <c r="U132" s="87">
        <f t="shared" si="31"/>
        <v>2842</v>
      </c>
      <c r="V132" s="87" t="e">
        <f t="shared" si="32"/>
        <v>#DIV/0!</v>
      </c>
      <c r="W132" s="12"/>
      <c r="X132" s="144"/>
      <c r="Y132" s="130"/>
      <c r="Z132" s="53"/>
      <c r="AA132" s="53"/>
      <c r="AB132" s="53"/>
      <c r="AC132" s="237"/>
    </row>
    <row r="133" s="164" customFormat="1" spans="1:29">
      <c r="A133" s="11" t="s">
        <v>108</v>
      </c>
      <c r="B133" s="12" t="s">
        <v>111</v>
      </c>
      <c r="C133" s="12">
        <f>SUMIFS(周检修业务统计数据!E:E,周检修业务统计数据!B:B,B133,周检修业务统计数据!C:C,"干箱",周检修业务统计数据!D:D,"COS")</f>
        <v>124</v>
      </c>
      <c r="D133" s="12">
        <f>C133-'2025年18周'!C133</f>
        <v>39</v>
      </c>
      <c r="E133" s="85">
        <f>(SUMIFS(周检修业务统计数据!I:I,周检修业务统计数据!B:B,B133,周检修业务统计数据!C:C,"干箱",周检修业务统计数据!D:D,"COS")+SUMIFS(周检修业务统计数据!J:J,周检修业务统计数据!B:B,B133,周检修业务统计数据!C:C,"干箱",周检修业务统计数据!D:D,"COS"))*1.13</f>
        <v>20926.42</v>
      </c>
      <c r="F133" s="86">
        <f>(E133-'2025年18周'!E133)/'2025年18周'!E133</f>
        <v>0.1755</v>
      </c>
      <c r="G133" s="87">
        <f t="shared" si="27"/>
        <v>169</v>
      </c>
      <c r="H133" s="86">
        <f>(G133-'2025年18周'!G133)/'2025年18周'!G133</f>
        <v>-0.1914</v>
      </c>
      <c r="I133" s="12">
        <f>SUMIFS(周检修业务统计数据!L:L,周检修业务统计数据!B:B,B133,周检修业务统计数据!C:C,"干箱",周检修业务统计数据!D:D,"COS")*1.06</f>
        <v>6820.4216</v>
      </c>
      <c r="J133" s="12">
        <f>SUMIFS(周检修业务统计数据!E:E,周检修业务统计数据!B:B,B133,周检修业务统计数据!C:C,"干箱",周检修业务统计数据!D:D,"&lt;&gt;COS")</f>
        <v>0</v>
      </c>
      <c r="K133" s="12">
        <f>J133-'2025年18周'!J133</f>
        <v>0</v>
      </c>
      <c r="L133" s="85">
        <f>(SUMIFS(周检修业务统计数据!I:I,周检修业务统计数据!B:B,B133,周检修业务统计数据!C:C,"干箱",周检修业务统计数据!D:D,"&lt;&gt;COS")+SUMIFS(周检修业务统计数据!J:J,周检修业务统计数据!B:B,B133,周检修业务统计数据!C:C,"干箱",周检修业务统计数据!D:D,"&lt;&gt;COS"))*1.13++SUMIFS(周检修业务统计数据!L:L,周检修业务统计数据!B:B,B133,周检修业务统计数据!C:C,"干箱",周检修业务统计数据!D:D,"&lt;&gt;COS")*1.06</f>
        <v>0</v>
      </c>
      <c r="M133" s="86" t="e">
        <f>(L133-'2025年18周'!L133)/'2025年18周'!L133</f>
        <v>#DIV/0!</v>
      </c>
      <c r="N133" s="87" t="e">
        <f t="shared" si="28"/>
        <v>#DIV/0!</v>
      </c>
      <c r="O133" s="86" t="e">
        <f>(N133-'2025年18周'!N133)/'2025年18周'!N133</f>
        <v>#DIV/0!</v>
      </c>
      <c r="P133" s="88">
        <f>(SUMIFS(周检修业务统计数据!I:I,周检修业务统计数据!B:B,B133,周检修业务统计数据!C:C,"&lt;&gt;干箱")+SUMIFS(周检修业务统计数据!J:J,周检修业务统计数据!B:B,B133,周检修业务统计数据!C:C,"&lt;&gt;干箱"))*1.13++SUMIFS(周检修业务统计数据!L:L,周检修业务统计数据!B:B,B133,周检修业务统计数据!C:C,"&lt;&gt;干箱")*1.06</f>
        <v>0</v>
      </c>
      <c r="Q133" s="53"/>
      <c r="R133" s="53"/>
      <c r="S133" s="53">
        <f t="shared" ref="S133:S157" si="33">S276</f>
        <v>0</v>
      </c>
      <c r="T133" s="12">
        <f t="shared" si="30"/>
        <v>124</v>
      </c>
      <c r="U133" s="87">
        <f t="shared" si="31"/>
        <v>27747</v>
      </c>
      <c r="V133" s="87" t="e">
        <f t="shared" si="32"/>
        <v>#DIV/0!</v>
      </c>
      <c r="W133" s="12"/>
      <c r="X133" s="144"/>
      <c r="Y133" s="130"/>
      <c r="Z133" s="53"/>
      <c r="AA133" s="53"/>
      <c r="AB133" s="53"/>
      <c r="AC133" s="237"/>
    </row>
    <row r="134" s="164" customFormat="1" spans="1:29">
      <c r="A134" s="11" t="s">
        <v>108</v>
      </c>
      <c r="B134" s="12" t="s">
        <v>112</v>
      </c>
      <c r="C134" s="12">
        <f>SUMIFS(周检修业务统计数据!E:E,周检修业务统计数据!B:B,B134,周检修业务统计数据!C:C,"干箱",周检修业务统计数据!D:D,"COS")</f>
        <v>63</v>
      </c>
      <c r="D134" s="12">
        <f>C134-'2025年18周'!C134</f>
        <v>-61</v>
      </c>
      <c r="E134" s="85">
        <f>(SUMIFS(周检修业务统计数据!I:I,周检修业务统计数据!B:B,B134,周检修业务统计数据!C:C,"干箱",周检修业务统计数据!D:D,"COS")+SUMIFS(周检修业务统计数据!J:J,周检修业务统计数据!B:B,B134,周检修业务统计数据!C:C,"干箱",周检修业务统计数据!D:D,"COS"))*1.13</f>
        <v>11836.99</v>
      </c>
      <c r="F134" s="86">
        <f>(E134-'2025年18周'!E134)/'2025年18周'!E134</f>
        <v>-0.4789</v>
      </c>
      <c r="G134" s="87">
        <f t="shared" si="27"/>
        <v>188</v>
      </c>
      <c r="H134" s="86">
        <f>(G134-'2025年18周'!G134)/'2025年18周'!G134</f>
        <v>0.0273</v>
      </c>
      <c r="I134" s="12">
        <f>SUMIFS(周检修业务统计数据!L:L,周检修业务统计数据!B:B,B134,周检修业务统计数据!C:C,"干箱",周检修业务统计数据!D:D,"COS")*1.06</f>
        <v>3825.063</v>
      </c>
      <c r="J134" s="12">
        <f>SUMIFS(周检修业务统计数据!E:E,周检修业务统计数据!B:B,B134,周检修业务统计数据!C:C,"干箱",周检修业务统计数据!D:D,"&lt;&gt;COS")</f>
        <v>0</v>
      </c>
      <c r="K134" s="12">
        <f>J134-'2025年18周'!J134</f>
        <v>0</v>
      </c>
      <c r="L134" s="85">
        <f>(SUMIFS(周检修业务统计数据!I:I,周检修业务统计数据!B:B,B134,周检修业务统计数据!C:C,"干箱",周检修业务统计数据!D:D,"&lt;&gt;COS")+SUMIFS(周检修业务统计数据!J:J,周检修业务统计数据!B:B,B134,周检修业务统计数据!C:C,"干箱",周检修业务统计数据!D:D,"&lt;&gt;COS"))*1.13++SUMIFS(周检修业务统计数据!L:L,周检修业务统计数据!B:B,B134,周检修业务统计数据!C:C,"干箱",周检修业务统计数据!D:D,"&lt;&gt;COS")*1.06</f>
        <v>0</v>
      </c>
      <c r="M134" s="86" t="e">
        <f>(L134-'2025年18周'!L134)/'2025年18周'!L134</f>
        <v>#DIV/0!</v>
      </c>
      <c r="N134" s="87" t="e">
        <f t="shared" si="28"/>
        <v>#DIV/0!</v>
      </c>
      <c r="O134" s="86" t="e">
        <f>(N134-'2025年18周'!N134)/'2025年18周'!N134</f>
        <v>#DIV/0!</v>
      </c>
      <c r="P134" s="88">
        <f>(SUMIFS(周检修业务统计数据!I:I,周检修业务统计数据!B:B,B134,周检修业务统计数据!C:C,"&lt;&gt;干箱")+SUMIFS(周检修业务统计数据!J:J,周检修业务统计数据!B:B,B134,周检修业务统计数据!C:C,"&lt;&gt;干箱"))*1.13++SUMIFS(周检修业务统计数据!L:L,周检修业务统计数据!B:B,B134,周检修业务统计数据!C:C,"&lt;&gt;干箱")*1.06</f>
        <v>0</v>
      </c>
      <c r="Q134" s="53"/>
      <c r="R134" s="53"/>
      <c r="S134" s="53">
        <f t="shared" si="33"/>
        <v>0</v>
      </c>
      <c r="T134" s="12">
        <f t="shared" si="30"/>
        <v>63</v>
      </c>
      <c r="U134" s="87">
        <f t="shared" si="31"/>
        <v>15662</v>
      </c>
      <c r="V134" s="87" t="e">
        <f t="shared" si="32"/>
        <v>#DIV/0!</v>
      </c>
      <c r="W134" s="12"/>
      <c r="X134" s="144"/>
      <c r="Y134" s="130"/>
      <c r="Z134" s="53"/>
      <c r="AA134" s="53"/>
      <c r="AB134" s="53"/>
      <c r="AC134" s="237"/>
    </row>
    <row r="135" s="164" customFormat="1" spans="1:29">
      <c r="A135" s="11" t="s">
        <v>108</v>
      </c>
      <c r="B135" s="12" t="s">
        <v>113</v>
      </c>
      <c r="C135" s="12">
        <f>SUMIFS(周检修业务统计数据!E:E,周检修业务统计数据!B:B,B135,周检修业务统计数据!C:C,"干箱",周检修业务统计数据!D:D,"COS")</f>
        <v>0</v>
      </c>
      <c r="D135" s="12">
        <f>C135-'2025年18周'!C135</f>
        <v>0</v>
      </c>
      <c r="E135" s="85">
        <f>(SUMIFS(周检修业务统计数据!I:I,周检修业务统计数据!B:B,B135,周检修业务统计数据!C:C,"干箱",周检修业务统计数据!D:D,"COS")+SUMIFS(周检修业务统计数据!J:J,周检修业务统计数据!B:B,B135,周检修业务统计数据!C:C,"干箱",周检修业务统计数据!D:D,"COS"))*1.13</f>
        <v>0</v>
      </c>
      <c r="F135" s="86" t="e">
        <f>(E135-'2025年18周'!E135)/'2025年18周'!E135</f>
        <v>#DIV/0!</v>
      </c>
      <c r="G135" s="87" t="e">
        <f t="shared" si="27"/>
        <v>#DIV/0!</v>
      </c>
      <c r="H135" s="86" t="e">
        <f>(G135-'2025年18周'!G135)/'2025年18周'!G135</f>
        <v>#DIV/0!</v>
      </c>
      <c r="I135" s="12">
        <f>SUMIFS(周检修业务统计数据!L:L,周检修业务统计数据!B:B,B135,周检修业务统计数据!C:C,"干箱",周检修业务统计数据!D:D,"COS")*1.06</f>
        <v>0</v>
      </c>
      <c r="J135" s="12">
        <f>SUMIFS(周检修业务统计数据!E:E,周检修业务统计数据!B:B,B135,周检修业务统计数据!C:C,"干箱",周检修业务统计数据!D:D,"&lt;&gt;COS")</f>
        <v>0</v>
      </c>
      <c r="K135" s="12">
        <f>J135-'2025年18周'!J135</f>
        <v>0</v>
      </c>
      <c r="L135" s="85">
        <f>(SUMIFS(周检修业务统计数据!I:I,周检修业务统计数据!B:B,B135,周检修业务统计数据!C:C,"干箱",周检修业务统计数据!D:D,"&lt;&gt;COS")+SUMIFS(周检修业务统计数据!J:J,周检修业务统计数据!B:B,B135,周检修业务统计数据!C:C,"干箱",周检修业务统计数据!D:D,"&lt;&gt;COS"))*1.13++SUMIFS(周检修业务统计数据!L:L,周检修业务统计数据!B:B,B135,周检修业务统计数据!C:C,"干箱",周检修业务统计数据!D:D,"&lt;&gt;COS")*1.06</f>
        <v>0</v>
      </c>
      <c r="M135" s="86" t="e">
        <f>(L135-'2025年18周'!L135)/'2025年18周'!L135</f>
        <v>#DIV/0!</v>
      </c>
      <c r="N135" s="87" t="e">
        <f t="shared" si="28"/>
        <v>#DIV/0!</v>
      </c>
      <c r="O135" s="86" t="e">
        <f>(N135-'2025年18周'!N135)/'2025年18周'!N135</f>
        <v>#DIV/0!</v>
      </c>
      <c r="P135" s="88">
        <f>(SUMIFS(周检修业务统计数据!I:I,周检修业务统计数据!B:B,B135,周检修业务统计数据!C:C,"&lt;&gt;干箱")+SUMIFS(周检修业务统计数据!J:J,周检修业务统计数据!B:B,B135,周检修业务统计数据!C:C,"&lt;&gt;干箱"))*1.13++SUMIFS(周检修业务统计数据!L:L,周检修业务统计数据!B:B,B135,周检修业务统计数据!C:C,"&lt;&gt;干箱")*1.06</f>
        <v>0</v>
      </c>
      <c r="Q135" s="53"/>
      <c r="R135" s="53"/>
      <c r="S135" s="53">
        <f t="shared" si="33"/>
        <v>0</v>
      </c>
      <c r="T135" s="12">
        <f t="shared" si="30"/>
        <v>0</v>
      </c>
      <c r="U135" s="87">
        <f t="shared" si="31"/>
        <v>0</v>
      </c>
      <c r="V135" s="87" t="e">
        <f t="shared" si="32"/>
        <v>#DIV/0!</v>
      </c>
      <c r="W135" s="12"/>
      <c r="X135" s="144"/>
      <c r="Y135" s="130"/>
      <c r="Z135" s="53"/>
      <c r="AA135" s="53"/>
      <c r="AB135" s="53"/>
      <c r="AC135" s="237"/>
    </row>
    <row r="136" s="164" customFormat="1" spans="1:29">
      <c r="A136" s="11" t="s">
        <v>108</v>
      </c>
      <c r="B136" s="12" t="s">
        <v>114</v>
      </c>
      <c r="C136" s="12">
        <f>SUMIFS(周检修业务统计数据!E:E,周检修业务统计数据!B:B,B136,周检修业务统计数据!C:C,"干箱",周检修业务统计数据!D:D,"COS")</f>
        <v>0</v>
      </c>
      <c r="D136" s="12">
        <f>C136-'2025年18周'!C136</f>
        <v>0</v>
      </c>
      <c r="E136" s="85">
        <f>(SUMIFS(周检修业务统计数据!I:I,周检修业务统计数据!B:B,B136,周检修业务统计数据!C:C,"干箱",周检修业务统计数据!D:D,"COS")+SUMIFS(周检修业务统计数据!J:J,周检修业务统计数据!B:B,B136,周检修业务统计数据!C:C,"干箱",周检修业务统计数据!D:D,"COS"))*1.13</f>
        <v>0</v>
      </c>
      <c r="F136" s="86" t="e">
        <f>(E136-'2025年18周'!E136)/'2025年18周'!E136</f>
        <v>#DIV/0!</v>
      </c>
      <c r="G136" s="87" t="e">
        <f t="shared" si="27"/>
        <v>#DIV/0!</v>
      </c>
      <c r="H136" s="86" t="e">
        <f>(G136-'2025年18周'!G136)/'2025年18周'!G136</f>
        <v>#DIV/0!</v>
      </c>
      <c r="I136" s="12">
        <f>SUMIFS(周检修业务统计数据!L:L,周检修业务统计数据!B:B,B136,周检修业务统计数据!C:C,"干箱",周检修业务统计数据!D:D,"COS")*1.06</f>
        <v>0</v>
      </c>
      <c r="J136" s="12">
        <f>SUMIFS(周检修业务统计数据!E:E,周检修业务统计数据!B:B,B136,周检修业务统计数据!C:C,"干箱",周检修业务统计数据!D:D,"&lt;&gt;COS")</f>
        <v>0</v>
      </c>
      <c r="K136" s="12">
        <f>J136-'2025年18周'!J136</f>
        <v>0</v>
      </c>
      <c r="L136" s="85">
        <f>(SUMIFS(周检修业务统计数据!I:I,周检修业务统计数据!B:B,B136,周检修业务统计数据!C:C,"干箱",周检修业务统计数据!D:D,"&lt;&gt;COS")+SUMIFS(周检修业务统计数据!J:J,周检修业务统计数据!B:B,B136,周检修业务统计数据!C:C,"干箱",周检修业务统计数据!D:D,"&lt;&gt;COS"))*1.13++SUMIFS(周检修业务统计数据!L:L,周检修业务统计数据!B:B,B136,周检修业务统计数据!C:C,"干箱",周检修业务统计数据!D:D,"&lt;&gt;COS")*1.06</f>
        <v>0</v>
      </c>
      <c r="M136" s="86" t="e">
        <f>(L136-'2025年18周'!L136)/'2025年18周'!L136</f>
        <v>#DIV/0!</v>
      </c>
      <c r="N136" s="87" t="e">
        <f t="shared" si="28"/>
        <v>#DIV/0!</v>
      </c>
      <c r="O136" s="86" t="e">
        <f>(N136-'2025年18周'!N136)/'2025年18周'!N136</f>
        <v>#DIV/0!</v>
      </c>
      <c r="P136" s="88">
        <f>(SUMIFS(周检修业务统计数据!I:I,周检修业务统计数据!B:B,B136,周检修业务统计数据!C:C,"&lt;&gt;干箱")+SUMIFS(周检修业务统计数据!J:J,周检修业务统计数据!B:B,B136,周检修业务统计数据!C:C,"&lt;&gt;干箱"))*1.13++SUMIFS(周检修业务统计数据!L:L,周检修业务统计数据!B:B,B136,周检修业务统计数据!C:C,"&lt;&gt;干箱")*1.06</f>
        <v>0</v>
      </c>
      <c r="Q136" s="53"/>
      <c r="R136" s="53"/>
      <c r="S136" s="53">
        <f t="shared" si="33"/>
        <v>0</v>
      </c>
      <c r="T136" s="12">
        <f t="shared" si="30"/>
        <v>0</v>
      </c>
      <c r="U136" s="87">
        <f t="shared" si="31"/>
        <v>0</v>
      </c>
      <c r="V136" s="87" t="e">
        <f t="shared" si="32"/>
        <v>#DIV/0!</v>
      </c>
      <c r="W136" s="12"/>
      <c r="X136" s="144"/>
      <c r="Y136" s="130"/>
      <c r="Z136" s="53"/>
      <c r="AA136" s="53"/>
      <c r="AB136" s="53"/>
      <c r="AC136" s="237"/>
    </row>
    <row r="137" s="164" customFormat="1" spans="1:29">
      <c r="A137" s="11" t="s">
        <v>108</v>
      </c>
      <c r="B137" s="12" t="s">
        <v>115</v>
      </c>
      <c r="C137" s="12">
        <f>SUMIFS(周检修业务统计数据!E:E,周检修业务统计数据!B:B,B137,周检修业务统计数据!C:C,"干箱",周检修业务统计数据!D:D,"COS")</f>
        <v>0</v>
      </c>
      <c r="D137" s="12">
        <f>C137-'2025年18周'!C137</f>
        <v>0</v>
      </c>
      <c r="E137" s="85">
        <f>(SUMIFS(周检修业务统计数据!I:I,周检修业务统计数据!B:B,B137,周检修业务统计数据!C:C,"干箱",周检修业务统计数据!D:D,"COS")+SUMIFS(周检修业务统计数据!J:J,周检修业务统计数据!B:B,B137,周检修业务统计数据!C:C,"干箱",周检修业务统计数据!D:D,"COS"))*1.13</f>
        <v>0</v>
      </c>
      <c r="F137" s="86" t="e">
        <f>(E137-'2025年18周'!E137)/'2025年18周'!E137</f>
        <v>#DIV/0!</v>
      </c>
      <c r="G137" s="87" t="e">
        <f t="shared" si="27"/>
        <v>#DIV/0!</v>
      </c>
      <c r="H137" s="86" t="e">
        <f>(G137-'2025年18周'!G137)/'2025年18周'!G137</f>
        <v>#DIV/0!</v>
      </c>
      <c r="I137" s="12">
        <f>SUMIFS(周检修业务统计数据!L:L,周检修业务统计数据!B:B,B137,周检修业务统计数据!C:C,"干箱",周检修业务统计数据!D:D,"COS")*1.06</f>
        <v>0</v>
      </c>
      <c r="J137" s="12">
        <f>SUMIFS(周检修业务统计数据!E:E,周检修业务统计数据!B:B,B137,周检修业务统计数据!C:C,"干箱",周检修业务统计数据!D:D,"&lt;&gt;COS")</f>
        <v>0</v>
      </c>
      <c r="K137" s="12">
        <f>J137-'2025年18周'!J137</f>
        <v>0</v>
      </c>
      <c r="L137" s="85">
        <f>(SUMIFS(周检修业务统计数据!I:I,周检修业务统计数据!B:B,B137,周检修业务统计数据!C:C,"干箱",周检修业务统计数据!D:D,"&lt;&gt;COS")+SUMIFS(周检修业务统计数据!J:J,周检修业务统计数据!B:B,B137,周检修业务统计数据!C:C,"干箱",周检修业务统计数据!D:D,"&lt;&gt;COS"))*1.13++SUMIFS(周检修业务统计数据!L:L,周检修业务统计数据!B:B,B137,周检修业务统计数据!C:C,"干箱",周检修业务统计数据!D:D,"&lt;&gt;COS")*1.06</f>
        <v>0</v>
      </c>
      <c r="M137" s="86" t="e">
        <f>(L137-'2025年18周'!L137)/'2025年18周'!L137</f>
        <v>#DIV/0!</v>
      </c>
      <c r="N137" s="87" t="e">
        <f t="shared" si="28"/>
        <v>#DIV/0!</v>
      </c>
      <c r="O137" s="86" t="e">
        <f>(N137-'2025年18周'!N137)/'2025年18周'!N137</f>
        <v>#DIV/0!</v>
      </c>
      <c r="P137" s="88">
        <f>(SUMIFS(周检修业务统计数据!I:I,周检修业务统计数据!B:B,B137,周检修业务统计数据!C:C,"&lt;&gt;干箱")+SUMIFS(周检修业务统计数据!J:J,周检修业务统计数据!B:B,B137,周检修业务统计数据!C:C,"&lt;&gt;干箱"))*1.13++SUMIFS(周检修业务统计数据!L:L,周检修业务统计数据!B:B,B137,周检修业务统计数据!C:C,"&lt;&gt;干箱")*1.06</f>
        <v>0</v>
      </c>
      <c r="Q137" s="53"/>
      <c r="R137" s="53"/>
      <c r="S137" s="53">
        <f t="shared" si="33"/>
        <v>0</v>
      </c>
      <c r="T137" s="12">
        <f t="shared" si="30"/>
        <v>0</v>
      </c>
      <c r="U137" s="87">
        <f t="shared" si="31"/>
        <v>0</v>
      </c>
      <c r="V137" s="87" t="e">
        <f t="shared" si="32"/>
        <v>#DIV/0!</v>
      </c>
      <c r="W137" s="12"/>
      <c r="X137" s="144"/>
      <c r="Y137" s="130"/>
      <c r="Z137" s="53"/>
      <c r="AA137" s="53"/>
      <c r="AB137" s="53"/>
      <c r="AC137" s="237"/>
    </row>
    <row r="138" s="164" customFormat="1" spans="1:29">
      <c r="A138" s="11" t="s">
        <v>108</v>
      </c>
      <c r="B138" s="12" t="s">
        <v>116</v>
      </c>
      <c r="C138" s="12">
        <f>SUMIFS(周检修业务统计数据!E:E,周检修业务统计数据!B:B,B138,周检修业务统计数据!C:C,"干箱",周检修业务统计数据!D:D,"COS")</f>
        <v>0</v>
      </c>
      <c r="D138" s="12">
        <f>C138-'2025年18周'!C138</f>
        <v>0</v>
      </c>
      <c r="E138" s="85">
        <f>(SUMIFS(周检修业务统计数据!I:I,周检修业务统计数据!B:B,B138,周检修业务统计数据!C:C,"干箱",周检修业务统计数据!D:D,"COS")+SUMIFS(周检修业务统计数据!J:J,周检修业务统计数据!B:B,B138,周检修业务统计数据!C:C,"干箱",周检修业务统计数据!D:D,"COS"))*1.13</f>
        <v>0</v>
      </c>
      <c r="F138" s="86" t="e">
        <f>(E138-'2025年18周'!E138)/'2025年18周'!E138</f>
        <v>#DIV/0!</v>
      </c>
      <c r="G138" s="87" t="e">
        <f t="shared" si="27"/>
        <v>#DIV/0!</v>
      </c>
      <c r="H138" s="86" t="e">
        <f>(G138-'2025年18周'!G138)/'2025年18周'!G138</f>
        <v>#DIV/0!</v>
      </c>
      <c r="I138" s="12">
        <f>SUMIFS(周检修业务统计数据!L:L,周检修业务统计数据!B:B,B138,周检修业务统计数据!C:C,"干箱",周检修业务统计数据!D:D,"COS")*1.06</f>
        <v>0</v>
      </c>
      <c r="J138" s="12">
        <f>SUMIFS(周检修业务统计数据!E:E,周检修业务统计数据!B:B,B138,周检修业务统计数据!C:C,"干箱",周检修业务统计数据!D:D,"&lt;&gt;COS")</f>
        <v>0</v>
      </c>
      <c r="K138" s="12">
        <f>J138-'2025年18周'!J138</f>
        <v>0</v>
      </c>
      <c r="L138" s="85">
        <f>(SUMIFS(周检修业务统计数据!I:I,周检修业务统计数据!B:B,B138,周检修业务统计数据!C:C,"干箱",周检修业务统计数据!D:D,"&lt;&gt;COS")+SUMIFS(周检修业务统计数据!J:J,周检修业务统计数据!B:B,B138,周检修业务统计数据!C:C,"干箱",周检修业务统计数据!D:D,"&lt;&gt;COS"))*1.13++SUMIFS(周检修业务统计数据!L:L,周检修业务统计数据!B:B,B138,周检修业务统计数据!C:C,"干箱",周检修业务统计数据!D:D,"&lt;&gt;COS")*1.06</f>
        <v>0</v>
      </c>
      <c r="M138" s="86" t="e">
        <f>(L138-'2025年18周'!L138)/'2025年18周'!L138</f>
        <v>#DIV/0!</v>
      </c>
      <c r="N138" s="87" t="e">
        <f t="shared" si="28"/>
        <v>#DIV/0!</v>
      </c>
      <c r="O138" s="86" t="e">
        <f>(N138-'2025年18周'!N138)/'2025年18周'!N138</f>
        <v>#DIV/0!</v>
      </c>
      <c r="P138" s="88">
        <f>(SUMIFS(周检修业务统计数据!I:I,周检修业务统计数据!B:B,B138,周检修业务统计数据!C:C,"&lt;&gt;干箱")+SUMIFS(周检修业务统计数据!J:J,周检修业务统计数据!B:B,B138,周检修业务统计数据!C:C,"&lt;&gt;干箱"))*1.13++SUMIFS(周检修业务统计数据!L:L,周检修业务统计数据!B:B,B138,周检修业务统计数据!C:C,"&lt;&gt;干箱")*1.06</f>
        <v>0</v>
      </c>
      <c r="Q138" s="53"/>
      <c r="R138" s="53"/>
      <c r="S138" s="53">
        <f t="shared" si="33"/>
        <v>0</v>
      </c>
      <c r="T138" s="12">
        <f t="shared" si="30"/>
        <v>0</v>
      </c>
      <c r="U138" s="87">
        <f t="shared" si="31"/>
        <v>0</v>
      </c>
      <c r="V138" s="87" t="e">
        <f t="shared" si="32"/>
        <v>#DIV/0!</v>
      </c>
      <c r="W138" s="12"/>
      <c r="X138" s="144"/>
      <c r="Y138" s="130"/>
      <c r="Z138" s="53"/>
      <c r="AA138" s="53"/>
      <c r="AB138" s="53"/>
      <c r="AC138" s="237"/>
    </row>
    <row r="139" spans="1:29">
      <c r="A139" s="239" t="s">
        <v>117</v>
      </c>
      <c r="B139" s="6" t="s">
        <v>118</v>
      </c>
      <c r="C139" s="6">
        <f>SUMIFS(周检修业务统计数据!E:E,周检修业务统计数据!B:B,B139,周检修业务统计数据!C:C,"干箱",周检修业务统计数据!D:D,"COS")</f>
        <v>0</v>
      </c>
      <c r="D139" s="6">
        <f>C139-'2025年18周'!C139</f>
        <v>0</v>
      </c>
      <c r="E139" s="75">
        <f>(SUMIFS(周检修业务统计数据!I:I,周检修业务统计数据!B:B,B139,周检修业务统计数据!C:C,"干箱",周检修业务统计数据!D:D,"COS")+SUMIFS(周检修业务统计数据!J:J,周检修业务统计数据!B:B,B139,周检修业务统计数据!C:C,"干箱",周检修业务统计数据!D:D,"COS"))*1.13</f>
        <v>0</v>
      </c>
      <c r="F139" s="76" t="e">
        <f>(E139-'2025年18周'!E139)/'2025年18周'!E139</f>
        <v>#DIV/0!</v>
      </c>
      <c r="G139" s="77" t="e">
        <f t="shared" si="27"/>
        <v>#DIV/0!</v>
      </c>
      <c r="H139" s="76" t="e">
        <f>(G139-'2025年18周'!G139)/'2025年18周'!G139</f>
        <v>#DIV/0!</v>
      </c>
      <c r="I139" s="6">
        <f>SUMIFS(周检修业务统计数据!L:L,周检修业务统计数据!B:B,B139,周检修业务统计数据!C:C,"干箱",周检修业务统计数据!D:D,"COS")*1.06</f>
        <v>0</v>
      </c>
      <c r="J139" s="6">
        <f>SUMIFS(周检修业务统计数据!E:E,周检修业务统计数据!B:B,B139,周检修业务统计数据!C:C,"干箱",周检修业务统计数据!D:D,"&lt;&gt;COS")</f>
        <v>0</v>
      </c>
      <c r="K139" s="6">
        <f>J139-'2025年18周'!J139</f>
        <v>0</v>
      </c>
      <c r="L139" s="75">
        <f>(SUMIFS(周检修业务统计数据!I:I,周检修业务统计数据!B:B,B139,周检修业务统计数据!C:C,"干箱",周检修业务统计数据!D:D,"&lt;&gt;COS")+SUMIFS(周检修业务统计数据!J:J,周检修业务统计数据!B:B,B139,周检修业务统计数据!C:C,"干箱",周检修业务统计数据!D:D,"&lt;&gt;COS"))*1.13++SUMIFS(周检修业务统计数据!L:L,周检修业务统计数据!B:B,B139,周检修业务统计数据!C:C,"干箱",周检修业务统计数据!D:D,"&lt;&gt;COS")*1.06</f>
        <v>0</v>
      </c>
      <c r="M139" s="76" t="e">
        <f>(L139-'2025年18周'!L139)/'2025年18周'!L139</f>
        <v>#DIV/0!</v>
      </c>
      <c r="N139" s="77" t="e">
        <f t="shared" si="28"/>
        <v>#DIV/0!</v>
      </c>
      <c r="O139" s="76" t="e">
        <f>(N139-'2025年18周'!N139)/'2025年18周'!N139</f>
        <v>#DIV/0!</v>
      </c>
      <c r="P139" s="78">
        <f>(SUMIFS(周检修业务统计数据!I:I,周检修业务统计数据!B:B,B139,周检修业务统计数据!C:C,"&lt;&gt;干箱")+SUMIFS(周检修业务统计数据!J:J,周检修业务统计数据!B:B,B139,周检修业务统计数据!C:C,"&lt;&gt;干箱"))*1.13++SUMIFS(周检修业务统计数据!L:L,周检修业务统计数据!B:B,B139,周检修业务统计数据!C:C,"&lt;&gt;干箱")*1.06</f>
        <v>0</v>
      </c>
      <c r="Q139" s="3"/>
      <c r="R139" s="3"/>
      <c r="S139" s="3">
        <f t="shared" si="33"/>
        <v>0</v>
      </c>
      <c r="T139" s="238">
        <f t="shared" si="30"/>
        <v>0</v>
      </c>
      <c r="U139" s="77">
        <f t="shared" si="31"/>
        <v>0</v>
      </c>
      <c r="V139" s="77" t="e">
        <f t="shared" si="32"/>
        <v>#DIV/0!</v>
      </c>
      <c r="W139" s="6"/>
      <c r="X139" s="146"/>
      <c r="Y139" s="130"/>
      <c r="Z139" s="3"/>
      <c r="AA139" s="3"/>
      <c r="AB139" s="3"/>
      <c r="AC139" s="4"/>
    </row>
    <row r="140" spans="1:29">
      <c r="A140" s="239" t="s">
        <v>55</v>
      </c>
      <c r="B140" s="6" t="s">
        <v>119</v>
      </c>
      <c r="C140" s="6">
        <f>SUMIFS(周检修业务统计数据!E:E,周检修业务统计数据!B:B,B140,周检修业务统计数据!C:C,"干箱",周检修业务统计数据!D:D,"COS")</f>
        <v>100</v>
      </c>
      <c r="D140" s="6">
        <f>C140-'2025年18周'!C140</f>
        <v>-36</v>
      </c>
      <c r="E140" s="75">
        <f>(SUMIFS(周检修业务统计数据!I:I,周检修业务统计数据!B:B,B140,周检修业务统计数据!C:C,"干箱",周检修业务统计数据!D:D,"COS")+SUMIFS(周检修业务统计数据!J:J,周检修业务统计数据!B:B,B140,周检修业务统计数据!C:C,"干箱",周检修业务统计数据!D:D,"COS"))*1.13</f>
        <v>19404.47</v>
      </c>
      <c r="F140" s="76">
        <f>(E140-'2025年18周'!E140)/'2025年18周'!E140</f>
        <v>-0.3073</v>
      </c>
      <c r="G140" s="77">
        <f t="shared" si="27"/>
        <v>194</v>
      </c>
      <c r="H140" s="76">
        <f>(G140-'2025年18周'!G140)/'2025年18周'!G140</f>
        <v>-0.0583</v>
      </c>
      <c r="I140" s="6">
        <f>SUMIFS(周检修业务统计数据!L:L,周检修业务统计数据!B:B,B140,周检修业务统计数据!C:C,"干箱",周检修业务统计数据!D:D,"COS")*1.06</f>
        <v>6300.004</v>
      </c>
      <c r="J140" s="6">
        <f>SUMIFS(周检修业务统计数据!E:E,周检修业务统计数据!B:B,B140,周检修业务统计数据!C:C,"干箱",周检修业务统计数据!D:D,"&lt;&gt;COS")</f>
        <v>0</v>
      </c>
      <c r="K140" s="6">
        <f>J140-'2025年18周'!J140</f>
        <v>0</v>
      </c>
      <c r="L140" s="75">
        <f>(SUMIFS(周检修业务统计数据!I:I,周检修业务统计数据!B:B,B140,周检修业务统计数据!C:C,"干箱",周检修业务统计数据!D:D,"&lt;&gt;COS")+SUMIFS(周检修业务统计数据!J:J,周检修业务统计数据!B:B,B140,周检修业务统计数据!C:C,"干箱",周检修业务统计数据!D:D,"&lt;&gt;COS"))*1.13++SUMIFS(周检修业务统计数据!L:L,周检修业务统计数据!B:B,B140,周检修业务统计数据!C:C,"干箱",周检修业务统计数据!D:D,"&lt;&gt;COS")*1.06</f>
        <v>0</v>
      </c>
      <c r="M140" s="76" t="e">
        <f>(L140-'2025年18周'!L140)/'2025年18周'!L140</f>
        <v>#DIV/0!</v>
      </c>
      <c r="N140" s="77" t="e">
        <f t="shared" si="28"/>
        <v>#DIV/0!</v>
      </c>
      <c r="O140" s="76" t="e">
        <f>(N140-'2025年18周'!N140)/'2025年18周'!N140</f>
        <v>#DIV/0!</v>
      </c>
      <c r="P140" s="78">
        <f>(SUMIFS(周检修业务统计数据!I:I,周检修业务统计数据!B:B,B140,周检修业务统计数据!C:C,"&lt;&gt;干箱")+SUMIFS(周检修业务统计数据!J:J,周检修业务统计数据!B:B,B140,周检修业务统计数据!C:C,"&lt;&gt;干箱"))*1.13++SUMIFS(周检修业务统计数据!L:L,周检修业务统计数据!B:B,B140,周检修业务统计数据!C:C,"&lt;&gt;干箱")*1.06</f>
        <v>0</v>
      </c>
      <c r="Q140" s="3"/>
      <c r="R140" s="3"/>
      <c r="S140" s="3">
        <f t="shared" si="33"/>
        <v>0</v>
      </c>
      <c r="T140" s="238">
        <f t="shared" si="30"/>
        <v>100</v>
      </c>
      <c r="U140" s="77">
        <f t="shared" si="31"/>
        <v>25704</v>
      </c>
      <c r="V140" s="77" t="e">
        <f t="shared" si="32"/>
        <v>#DIV/0!</v>
      </c>
      <c r="W140" s="6"/>
      <c r="X140" s="146"/>
      <c r="Y140" s="130"/>
      <c r="Z140" s="3"/>
      <c r="AA140" s="3"/>
      <c r="AB140" s="3"/>
      <c r="AC140" s="4"/>
    </row>
    <row r="141" spans="1:29">
      <c r="A141" s="239" t="s">
        <v>117</v>
      </c>
      <c r="B141" s="6" t="s">
        <v>120</v>
      </c>
      <c r="C141" s="6">
        <f>SUMIFS(周检修业务统计数据!E:E,周检修业务统计数据!B:B,B141,周检修业务统计数据!C:C,"干箱",周检修业务统计数据!D:D,"COS")</f>
        <v>13</v>
      </c>
      <c r="D141" s="6">
        <f>C141-'2025年18周'!C141</f>
        <v>-2</v>
      </c>
      <c r="E141" s="75">
        <f>(SUMIFS(周检修业务统计数据!I:I,周检修业务统计数据!B:B,B141,周检修业务统计数据!C:C,"干箱",周检修业务统计数据!D:D,"COS")+SUMIFS(周检修业务统计数据!J:J,周检修业务统计数据!B:B,B141,周检修业务统计数据!C:C,"干箱",周检修业务统计数据!D:D,"COS"))*1.13</f>
        <v>4667.96</v>
      </c>
      <c r="F141" s="76">
        <f>(E141-'2025年18周'!E141)/'2025年18周'!E141</f>
        <v>0.4005</v>
      </c>
      <c r="G141" s="77">
        <f t="shared" si="27"/>
        <v>359</v>
      </c>
      <c r="H141" s="76">
        <f>(G141-'2025年18周'!G141)/'2025年18周'!G141</f>
        <v>0.6171</v>
      </c>
      <c r="I141" s="6">
        <f>SUMIFS(周检修业务统计数据!L:L,周检修业务统计数据!B:B,B141,周检修业务统计数据!C:C,"干箱",周检修业务统计数据!D:D,"COS")*1.06</f>
        <v>715.0442</v>
      </c>
      <c r="J141" s="6">
        <f>SUMIFS(周检修业务统计数据!E:E,周检修业务统计数据!B:B,B141,周检修业务统计数据!C:C,"干箱",周检修业务统计数据!D:D,"&lt;&gt;COS")</f>
        <v>0</v>
      </c>
      <c r="K141" s="6">
        <f>J141-'2025年18周'!J141</f>
        <v>0</v>
      </c>
      <c r="L141" s="75">
        <f>(SUMIFS(周检修业务统计数据!I:I,周检修业务统计数据!B:B,B141,周检修业务统计数据!C:C,"干箱",周检修业务统计数据!D:D,"&lt;&gt;COS")+SUMIFS(周检修业务统计数据!J:J,周检修业务统计数据!B:B,B141,周检修业务统计数据!C:C,"干箱",周检修业务统计数据!D:D,"&lt;&gt;COS"))*1.13++SUMIFS(周检修业务统计数据!L:L,周检修业务统计数据!B:B,B141,周检修业务统计数据!C:C,"干箱",周检修业务统计数据!D:D,"&lt;&gt;COS")*1.06</f>
        <v>0</v>
      </c>
      <c r="M141" s="76" t="e">
        <f>(L141-'2025年18周'!L141)/'2025年18周'!L141</f>
        <v>#DIV/0!</v>
      </c>
      <c r="N141" s="77" t="e">
        <f t="shared" si="28"/>
        <v>#DIV/0!</v>
      </c>
      <c r="O141" s="76" t="e">
        <f>(N141-'2025年18周'!N141)/'2025年18周'!N141</f>
        <v>#DIV/0!</v>
      </c>
      <c r="P141" s="78">
        <f>(SUMIFS(周检修业务统计数据!I:I,周检修业务统计数据!B:B,B141,周检修业务统计数据!C:C,"&lt;&gt;干箱")+SUMIFS(周检修业务统计数据!J:J,周检修业务统计数据!B:B,B141,周检修业务统计数据!C:C,"&lt;&gt;干箱"))*1.13++SUMIFS(周检修业务统计数据!L:L,周检修业务统计数据!B:B,B141,周检修业务统计数据!C:C,"&lt;&gt;干箱")*1.06</f>
        <v>0</v>
      </c>
      <c r="Q141" s="3"/>
      <c r="R141" s="3"/>
      <c r="S141" s="3">
        <f t="shared" si="33"/>
        <v>0</v>
      </c>
      <c r="T141" s="238">
        <f t="shared" si="30"/>
        <v>13</v>
      </c>
      <c r="U141" s="77">
        <f t="shared" si="31"/>
        <v>5383</v>
      </c>
      <c r="V141" s="77" t="e">
        <f t="shared" si="32"/>
        <v>#DIV/0!</v>
      </c>
      <c r="W141" s="6"/>
      <c r="X141" s="146"/>
      <c r="Y141" s="130"/>
      <c r="Z141" s="3"/>
      <c r="AA141" s="3"/>
      <c r="AB141" s="3"/>
      <c r="AC141" s="4"/>
    </row>
    <row r="142" spans="1:29">
      <c r="A142" s="239" t="s">
        <v>117</v>
      </c>
      <c r="B142" s="6" t="s">
        <v>121</v>
      </c>
      <c r="C142" s="6">
        <f>SUMIFS(周检修业务统计数据!E:E,周检修业务统计数据!B:B,B142,周检修业务统计数据!C:C,"干箱",周检修业务统计数据!D:D,"COS")</f>
        <v>5</v>
      </c>
      <c r="D142" s="6">
        <f>C142-'2025年18周'!C142</f>
        <v>2</v>
      </c>
      <c r="E142" s="75">
        <f>(SUMIFS(周检修业务统计数据!I:I,周检修业务统计数据!B:B,B142,周检修业务统计数据!C:C,"干箱",周检修业务统计数据!D:D,"COS")+SUMIFS(周检修业务统计数据!J:J,周检修业务统计数据!B:B,B142,周检修业务统计数据!C:C,"干箱",周检修业务统计数据!D:D,"COS"))*1.13</f>
        <v>3003.81</v>
      </c>
      <c r="F142" s="76">
        <f>(E142-'2025年18周'!E142)/'2025年18周'!E142</f>
        <v>5.6541</v>
      </c>
      <c r="G142" s="77">
        <f t="shared" si="27"/>
        <v>601</v>
      </c>
      <c r="H142" s="76">
        <f>(G142-'2025年18周'!G142)/'2025年18周'!G142</f>
        <v>3.0067</v>
      </c>
      <c r="I142" s="6">
        <f>SUMIFS(周检修业务统计数据!L:L,周检修业务统计数据!B:B,B142,周检修业务统计数据!C:C,"干箱",周检修业务统计数据!D:D,"COS")*1.06</f>
        <v>374.975</v>
      </c>
      <c r="J142" s="6">
        <f>SUMIFS(周检修业务统计数据!E:E,周检修业务统计数据!B:B,B142,周检修业务统计数据!C:C,"干箱",周检修业务统计数据!D:D,"&lt;&gt;COS")</f>
        <v>0</v>
      </c>
      <c r="K142" s="6">
        <f>J142-'2025年18周'!J142</f>
        <v>0</v>
      </c>
      <c r="L142" s="75">
        <f>(SUMIFS(周检修业务统计数据!I:I,周检修业务统计数据!B:B,B142,周检修业务统计数据!C:C,"干箱",周检修业务统计数据!D:D,"&lt;&gt;COS")+SUMIFS(周检修业务统计数据!J:J,周检修业务统计数据!B:B,B142,周检修业务统计数据!C:C,"干箱",周检修业务统计数据!D:D,"&lt;&gt;COS"))*1.13++SUMIFS(周检修业务统计数据!L:L,周检修业务统计数据!B:B,B142,周检修业务统计数据!C:C,"干箱",周检修业务统计数据!D:D,"&lt;&gt;COS")*1.06</f>
        <v>0</v>
      </c>
      <c r="M142" s="76" t="e">
        <f>(L142-'2025年18周'!L142)/'2025年18周'!L142</f>
        <v>#DIV/0!</v>
      </c>
      <c r="N142" s="77" t="e">
        <f t="shared" si="28"/>
        <v>#DIV/0!</v>
      </c>
      <c r="O142" s="76" t="e">
        <f>(N142-'2025年18周'!N142)/'2025年18周'!N142</f>
        <v>#DIV/0!</v>
      </c>
      <c r="P142" s="78">
        <f>(SUMIFS(周检修业务统计数据!I:I,周检修业务统计数据!B:B,B142,周检修业务统计数据!C:C,"&lt;&gt;干箱")+SUMIFS(周检修业务统计数据!J:J,周检修业务统计数据!B:B,B142,周检修业务统计数据!C:C,"&lt;&gt;干箱"))*1.13++SUMIFS(周检修业务统计数据!L:L,周检修业务统计数据!B:B,B142,周检修业务统计数据!C:C,"&lt;&gt;干箱")*1.06</f>
        <v>0</v>
      </c>
      <c r="Q142" s="3"/>
      <c r="R142" s="3"/>
      <c r="S142" s="3">
        <f t="shared" si="33"/>
        <v>0</v>
      </c>
      <c r="T142" s="238">
        <f t="shared" si="30"/>
        <v>5</v>
      </c>
      <c r="U142" s="77">
        <f t="shared" si="31"/>
        <v>3379</v>
      </c>
      <c r="V142" s="77" t="e">
        <f t="shared" si="32"/>
        <v>#DIV/0!</v>
      </c>
      <c r="W142" s="6"/>
      <c r="X142" s="146"/>
      <c r="Y142" s="130"/>
      <c r="Z142" s="3"/>
      <c r="AA142" s="3"/>
      <c r="AB142" s="3"/>
      <c r="AC142" s="4"/>
    </row>
    <row r="143" spans="1:29">
      <c r="A143" s="239" t="s">
        <v>117</v>
      </c>
      <c r="B143" s="6" t="s">
        <v>122</v>
      </c>
      <c r="C143" s="6">
        <f>SUMIFS(周检修业务统计数据!E:E,周检修业务统计数据!B:B,B143,周检修业务统计数据!C:C,"干箱",周检修业务统计数据!D:D,"COS")</f>
        <v>0</v>
      </c>
      <c r="D143" s="6">
        <f>C143-'2025年18周'!C143</f>
        <v>0</v>
      </c>
      <c r="E143" s="75">
        <f>(SUMIFS(周检修业务统计数据!I:I,周检修业务统计数据!B:B,B143,周检修业务统计数据!C:C,"干箱",周检修业务统计数据!D:D,"COS")+SUMIFS(周检修业务统计数据!J:J,周检修业务统计数据!B:B,B143,周检修业务统计数据!C:C,"干箱",周检修业务统计数据!D:D,"COS"))*1.13</f>
        <v>0</v>
      </c>
      <c r="F143" s="76" t="e">
        <f>(E143-'2025年18周'!E143)/'2025年18周'!E143</f>
        <v>#DIV/0!</v>
      </c>
      <c r="G143" s="77" t="e">
        <f t="shared" si="27"/>
        <v>#DIV/0!</v>
      </c>
      <c r="H143" s="76" t="e">
        <f>(G143-'2025年18周'!G143)/'2025年18周'!G143</f>
        <v>#DIV/0!</v>
      </c>
      <c r="I143" s="6">
        <f>SUMIFS(周检修业务统计数据!L:L,周检修业务统计数据!B:B,B143,周检修业务统计数据!C:C,"干箱",周检修业务统计数据!D:D,"COS")*1.06</f>
        <v>0</v>
      </c>
      <c r="J143" s="6">
        <f>SUMIFS(周检修业务统计数据!E:E,周检修业务统计数据!B:B,B143,周检修业务统计数据!C:C,"干箱",周检修业务统计数据!D:D,"&lt;&gt;COS")</f>
        <v>0</v>
      </c>
      <c r="K143" s="6">
        <f>J143-'2025年18周'!J143</f>
        <v>0</v>
      </c>
      <c r="L143" s="75">
        <f>(SUMIFS(周检修业务统计数据!I:I,周检修业务统计数据!B:B,B143,周检修业务统计数据!C:C,"干箱",周检修业务统计数据!D:D,"&lt;&gt;COS")+SUMIFS(周检修业务统计数据!J:J,周检修业务统计数据!B:B,B143,周检修业务统计数据!C:C,"干箱",周检修业务统计数据!D:D,"&lt;&gt;COS"))*1.13++SUMIFS(周检修业务统计数据!L:L,周检修业务统计数据!B:B,B143,周检修业务统计数据!C:C,"干箱",周检修业务统计数据!D:D,"&lt;&gt;COS")*1.06</f>
        <v>0</v>
      </c>
      <c r="M143" s="76" t="e">
        <f>(L143-'2025年18周'!L143)/'2025年18周'!L143</f>
        <v>#DIV/0!</v>
      </c>
      <c r="N143" s="77" t="e">
        <f t="shared" si="28"/>
        <v>#DIV/0!</v>
      </c>
      <c r="O143" s="76" t="e">
        <f>(N143-'2025年18周'!N143)/'2025年18周'!N143</f>
        <v>#DIV/0!</v>
      </c>
      <c r="P143" s="78">
        <f>(SUMIFS(周检修业务统计数据!I:I,周检修业务统计数据!B:B,B143,周检修业务统计数据!C:C,"&lt;&gt;干箱")+SUMIFS(周检修业务统计数据!J:J,周检修业务统计数据!B:B,B143,周检修业务统计数据!C:C,"&lt;&gt;干箱"))*1.13++SUMIFS(周检修业务统计数据!L:L,周检修业务统计数据!B:B,B143,周检修业务统计数据!C:C,"&lt;&gt;干箱")*1.06</f>
        <v>0</v>
      </c>
      <c r="Q143" s="3"/>
      <c r="R143" s="3"/>
      <c r="S143" s="3">
        <f t="shared" si="33"/>
        <v>0</v>
      </c>
      <c r="T143" s="238">
        <f t="shared" si="30"/>
        <v>0</v>
      </c>
      <c r="U143" s="77">
        <f t="shared" si="31"/>
        <v>0</v>
      </c>
      <c r="V143" s="77" t="e">
        <f t="shared" si="32"/>
        <v>#DIV/0!</v>
      </c>
      <c r="W143" s="6"/>
      <c r="X143" s="146"/>
      <c r="Y143" s="130"/>
      <c r="Z143" s="3"/>
      <c r="AA143" s="3"/>
      <c r="AB143" s="3"/>
      <c r="AC143" s="4" t="s">
        <v>225</v>
      </c>
    </row>
    <row r="144" spans="1:29">
      <c r="A144" s="239" t="s">
        <v>55</v>
      </c>
      <c r="B144" s="6" t="s">
        <v>123</v>
      </c>
      <c r="C144" s="6">
        <f>SUMIFS(周检修业务统计数据!E:E,周检修业务统计数据!B:B,B144,周检修业务统计数据!C:C,"干箱",周检修业务统计数据!D:D,"COS")</f>
        <v>16</v>
      </c>
      <c r="D144" s="6">
        <f>C144-'2025年18周'!C144</f>
        <v>-179</v>
      </c>
      <c r="E144" s="75">
        <f>(SUMIFS(周检修业务统计数据!I:I,周检修业务统计数据!B:B,B144,周检修业务统计数据!C:C,"干箱",周检修业务统计数据!D:D,"COS")+SUMIFS(周检修业务统计数据!J:J,周检修业务统计数据!B:B,B144,周检修业务统计数据!C:C,"干箱",周检修业务统计数据!D:D,"COS"))*1.13</f>
        <v>9332.98</v>
      </c>
      <c r="F144" s="76">
        <f>(E144-'2025年18周'!E144)/'2025年18周'!E144</f>
        <v>-0.9368</v>
      </c>
      <c r="G144" s="77">
        <f t="shared" si="27"/>
        <v>583</v>
      </c>
      <c r="H144" s="76">
        <f>(G144-'2025年18周'!G144)/'2025年18周'!G144</f>
        <v>-0.2299</v>
      </c>
      <c r="I144" s="6">
        <f>SUMIFS(周检修业务统计数据!L:L,周检修业务统计数据!B:B,B144,周检修业务统计数据!C:C,"干箱",周检修业务统计数据!D:D,"COS")*1.06</f>
        <v>880.0544</v>
      </c>
      <c r="J144" s="6">
        <f>SUMIFS(周检修业务统计数据!E:E,周检修业务统计数据!B:B,B144,周检修业务统计数据!C:C,"干箱",周检修业务统计数据!D:D,"&lt;&gt;COS")</f>
        <v>0</v>
      </c>
      <c r="K144" s="6">
        <f>J144-'2025年18周'!J144</f>
        <v>0</v>
      </c>
      <c r="L144" s="75">
        <f>(SUMIFS(周检修业务统计数据!I:I,周检修业务统计数据!B:B,B144,周检修业务统计数据!C:C,"干箱",周检修业务统计数据!D:D,"&lt;&gt;COS")+SUMIFS(周检修业务统计数据!J:J,周检修业务统计数据!B:B,B144,周检修业务统计数据!C:C,"干箱",周检修业务统计数据!D:D,"&lt;&gt;COS"))*1.13++SUMIFS(周检修业务统计数据!L:L,周检修业务统计数据!B:B,B144,周检修业务统计数据!C:C,"干箱",周检修业务统计数据!D:D,"&lt;&gt;COS")*1.06</f>
        <v>0</v>
      </c>
      <c r="M144" s="76" t="e">
        <f>(L144-'2025年18周'!L144)/'2025年18周'!L144</f>
        <v>#DIV/0!</v>
      </c>
      <c r="N144" s="77" t="e">
        <f t="shared" si="28"/>
        <v>#DIV/0!</v>
      </c>
      <c r="O144" s="76" t="e">
        <f>(N144-'2025年18周'!N144)/'2025年18周'!N144</f>
        <v>#DIV/0!</v>
      </c>
      <c r="P144" s="78">
        <f>(SUMIFS(周检修业务统计数据!I:I,周检修业务统计数据!B:B,B144,周检修业务统计数据!C:C,"&lt;&gt;干箱")+SUMIFS(周检修业务统计数据!J:J,周检修业务统计数据!B:B,B144,周检修业务统计数据!C:C,"&lt;&gt;干箱"))*1.13++SUMIFS(周检修业务统计数据!L:L,周检修业务统计数据!B:B,B144,周检修业务统计数据!C:C,"&lt;&gt;干箱")*1.06</f>
        <v>0</v>
      </c>
      <c r="Q144" s="3"/>
      <c r="R144" s="3"/>
      <c r="S144" s="3">
        <f t="shared" si="33"/>
        <v>0</v>
      </c>
      <c r="T144" s="238">
        <f t="shared" si="30"/>
        <v>16</v>
      </c>
      <c r="U144" s="77">
        <f t="shared" si="31"/>
        <v>10213</v>
      </c>
      <c r="V144" s="77" t="e">
        <f t="shared" si="32"/>
        <v>#DIV/0!</v>
      </c>
      <c r="W144" s="6"/>
      <c r="X144" s="146"/>
      <c r="Y144" s="130"/>
      <c r="Z144" s="3"/>
      <c r="AA144" s="3"/>
      <c r="AB144" s="3"/>
      <c r="AC144" s="4"/>
    </row>
    <row r="145" s="164" customFormat="1" spans="1:29">
      <c r="A145" s="13" t="s">
        <v>124</v>
      </c>
      <c r="B145" s="12" t="s">
        <v>125</v>
      </c>
      <c r="C145" s="12">
        <f>SUMIFS(周检修业务统计数据!E:E,周检修业务统计数据!B:B,B145,周检修业务统计数据!C:C,"干箱",周检修业务统计数据!D:D,"COS")</f>
        <v>4</v>
      </c>
      <c r="D145" s="12">
        <f>C145-'2025年18周'!C145</f>
        <v>-12</v>
      </c>
      <c r="E145" s="85">
        <f>(SUMIFS(周检修业务统计数据!I:I,周检修业务统计数据!B:B,B145,周检修业务统计数据!C:C,"干箱",周检修业务统计数据!D:D,"COS")+SUMIFS(周检修业务统计数据!J:J,周检修业务统计数据!B:B,B145,周检修业务统计数据!C:C,"干箱",周检修业务统计数据!D:D,"COS"))*1.13</f>
        <v>1432.05</v>
      </c>
      <c r="F145" s="86">
        <f>(E145-'2025年18周'!E145)/'2025年18周'!E145</f>
        <v>-0.5464</v>
      </c>
      <c r="G145" s="87">
        <f t="shared" si="27"/>
        <v>358</v>
      </c>
      <c r="H145" s="86">
        <f>(G145-'2025年18周'!G145)/'2025年18周'!G145</f>
        <v>0.8173</v>
      </c>
      <c r="I145" s="12">
        <f>SUMIFS(周检修业务统计数据!L:L,周检修业务统计数据!B:B,B145,周检修业务统计数据!C:C,"干箱",周检修业务统计数据!D:D,"COS")*1.06</f>
        <v>220.0136</v>
      </c>
      <c r="J145" s="12">
        <f>SUMIFS(周检修业务统计数据!E:E,周检修业务统计数据!B:B,B145,周检修业务统计数据!C:C,"干箱",周检修业务统计数据!D:D,"&lt;&gt;COS")</f>
        <v>0</v>
      </c>
      <c r="K145" s="12">
        <f>J145-'2025年18周'!J145</f>
        <v>0</v>
      </c>
      <c r="L145" s="85">
        <f>(SUMIFS(周检修业务统计数据!I:I,周检修业务统计数据!B:B,B145,周检修业务统计数据!C:C,"干箱",周检修业务统计数据!D:D,"&lt;&gt;COS")+SUMIFS(周检修业务统计数据!J:J,周检修业务统计数据!B:B,B145,周检修业务统计数据!C:C,"干箱",周检修业务统计数据!D:D,"&lt;&gt;COS"))*1.13++SUMIFS(周检修业务统计数据!L:L,周检修业务统计数据!B:B,B145,周检修业务统计数据!C:C,"干箱",周检修业务统计数据!D:D,"&lt;&gt;COS")*1.06</f>
        <v>0</v>
      </c>
      <c r="M145" s="86" t="e">
        <f>(L145-'2025年18周'!L145)/'2025年18周'!L145</f>
        <v>#DIV/0!</v>
      </c>
      <c r="N145" s="87" t="e">
        <f t="shared" si="28"/>
        <v>#DIV/0!</v>
      </c>
      <c r="O145" s="86" t="e">
        <f>(N145-'2025年18周'!N145)/'2025年18周'!N145</f>
        <v>#DIV/0!</v>
      </c>
      <c r="P145" s="88">
        <f>(SUMIFS(周检修业务统计数据!I:I,周检修业务统计数据!B:B,B145,周检修业务统计数据!C:C,"&lt;&gt;干箱")+SUMIFS(周检修业务统计数据!J:J,周检修业务统计数据!B:B,B145,周检修业务统计数据!C:C,"&lt;&gt;干箱"))*1.13++SUMIFS(周检修业务统计数据!L:L,周检修业务统计数据!B:B,B145,周检修业务统计数据!C:C,"&lt;&gt;干箱")*1.06</f>
        <v>0</v>
      </c>
      <c r="Q145" s="53"/>
      <c r="R145" s="53"/>
      <c r="S145" s="53">
        <f t="shared" si="33"/>
        <v>0</v>
      </c>
      <c r="T145" s="12">
        <f t="shared" si="30"/>
        <v>4</v>
      </c>
      <c r="U145" s="87">
        <f t="shared" si="31"/>
        <v>1652</v>
      </c>
      <c r="V145" s="87" t="e">
        <f t="shared" si="32"/>
        <v>#DIV/0!</v>
      </c>
      <c r="W145" s="12"/>
      <c r="X145" s="144"/>
      <c r="Y145" s="130"/>
      <c r="Z145" s="53"/>
      <c r="AA145" s="53"/>
      <c r="AB145" s="53"/>
      <c r="AC145" s="237"/>
    </row>
    <row r="146" s="164" customFormat="1" spans="1:29">
      <c r="A146" s="13" t="s">
        <v>126</v>
      </c>
      <c r="B146" s="12" t="s">
        <v>127</v>
      </c>
      <c r="C146" s="12">
        <f>SUMIFS(周检修业务统计数据!E:E,周检修业务统计数据!B:B,B146,周检修业务统计数据!C:C,"干箱",周检修业务统计数据!D:D,"COS")</f>
        <v>349</v>
      </c>
      <c r="D146" s="12">
        <f>C146-'2025年18周'!C146</f>
        <v>31</v>
      </c>
      <c r="E146" s="85">
        <f>(SUMIFS(周检修业务统计数据!I:I,周检修业务统计数据!B:B,B146,周检修业务统计数据!C:C,"干箱",周检修业务统计数据!D:D,"COS")+SUMIFS(周检修业务统计数据!J:J,周检修业务统计数据!B:B,B146,周检修业务统计数据!C:C,"干箱",周检修业务统计数据!D:D,"COS"))*1.13</f>
        <v>120932.7</v>
      </c>
      <c r="F146" s="86">
        <f>(E146-'2025年18周'!E146)/'2025年18周'!E146</f>
        <v>0.1769</v>
      </c>
      <c r="G146" s="87">
        <f t="shared" si="27"/>
        <v>347</v>
      </c>
      <c r="H146" s="86">
        <f>(G146-'2025年18周'!G146)/'2025年18周'!G146</f>
        <v>0.0743</v>
      </c>
      <c r="I146" s="12">
        <f>SUMIFS(周检修业务统计数据!L:L,周检修业务统计数据!B:B,B146,周检修业务统计数据!C:C,"干箱",周检修业务统计数据!D:D,"COS")*1.06</f>
        <v>26113.2802</v>
      </c>
      <c r="J146" s="12">
        <f>SUMIFS(周检修业务统计数据!E:E,周检修业务统计数据!B:B,B146,周检修业务统计数据!C:C,"干箱",周检修业务统计数据!D:D,"&lt;&gt;COS")</f>
        <v>0</v>
      </c>
      <c r="K146" s="12">
        <f>J146-'2025年18周'!J146</f>
        <v>-1</v>
      </c>
      <c r="L146" s="85">
        <f>(SUMIFS(周检修业务统计数据!I:I,周检修业务统计数据!B:B,B146,周检修业务统计数据!C:C,"干箱",周检修业务统计数据!D:D,"&lt;&gt;COS")+SUMIFS(周检修业务统计数据!J:J,周检修业务统计数据!B:B,B146,周检修业务统计数据!C:C,"干箱",周检修业务统计数据!D:D,"&lt;&gt;COS"))*1.13++SUMIFS(周检修业务统计数据!L:L,周检修业务统计数据!B:B,B146,周检修业务统计数据!C:C,"干箱",周检修业务统计数据!D:D,"&lt;&gt;COS")*1.06</f>
        <v>0</v>
      </c>
      <c r="M146" s="86">
        <f>(L146-'2025年18周'!L146)/'2025年18周'!L146</f>
        <v>-1</v>
      </c>
      <c r="N146" s="87" t="e">
        <f t="shared" si="28"/>
        <v>#DIV/0!</v>
      </c>
      <c r="O146" s="86" t="e">
        <f>(N146-'2025年18周'!N146)/'2025年18周'!N146</f>
        <v>#DIV/0!</v>
      </c>
      <c r="P146" s="88">
        <f>(SUMIFS(周检修业务统计数据!I:I,周检修业务统计数据!B:B,B146,周检修业务统计数据!C:C,"&lt;&gt;干箱")+SUMIFS(周检修业务统计数据!J:J,周检修业务统计数据!B:B,B146,周检修业务统计数据!C:C,"&lt;&gt;干箱"))*1.13++SUMIFS(周检修业务统计数据!L:L,周检修业务统计数据!B:B,B146,周检修业务统计数据!C:C,"&lt;&gt;干箱")*1.06</f>
        <v>0</v>
      </c>
      <c r="Q146" s="53"/>
      <c r="R146" s="53"/>
      <c r="S146" s="53">
        <f t="shared" si="33"/>
        <v>0</v>
      </c>
      <c r="T146" s="12">
        <f t="shared" si="30"/>
        <v>349</v>
      </c>
      <c r="U146" s="87">
        <f t="shared" si="31"/>
        <v>147046</v>
      </c>
      <c r="V146" s="87" t="e">
        <f t="shared" si="32"/>
        <v>#DIV/0!</v>
      </c>
      <c r="W146" s="12"/>
      <c r="X146" s="144"/>
      <c r="Y146" s="130"/>
      <c r="Z146" s="53"/>
      <c r="AA146" s="53"/>
      <c r="AB146" s="53"/>
      <c r="AC146" s="237"/>
    </row>
    <row r="147" s="164" customFormat="1" spans="1:29">
      <c r="A147" s="13" t="s">
        <v>126</v>
      </c>
      <c r="B147" s="12" t="s">
        <v>128</v>
      </c>
      <c r="C147" s="12">
        <f>SUMIFS(周检修业务统计数据!E:E,周检修业务统计数据!B:B,B147,周检修业务统计数据!C:C,"干箱",周检修业务统计数据!D:D,"COS")</f>
        <v>7</v>
      </c>
      <c r="D147" s="12">
        <f>C147-'2025年18周'!C147</f>
        <v>-4</v>
      </c>
      <c r="E147" s="85">
        <f>(SUMIFS(周检修业务统计数据!I:I,周检修业务统计数据!B:B,B147,周检修业务统计数据!C:C,"干箱",周检修业务统计数据!D:D,"COS")+SUMIFS(周检修业务统计数据!J:J,周检修业务统计数据!B:B,B147,周检修业务统计数据!C:C,"干箱",周检修业务统计数据!D:D,"COS"))*1.13</f>
        <v>6693.13</v>
      </c>
      <c r="F147" s="86">
        <f>(E147-'2025年18周'!E147)/'2025年18周'!E147</f>
        <v>-0.3183</v>
      </c>
      <c r="G147" s="87">
        <f t="shared" si="27"/>
        <v>956</v>
      </c>
      <c r="H147" s="86">
        <f>(G147-'2025年18周'!G147)/'2025年18周'!G147</f>
        <v>0.0705</v>
      </c>
      <c r="I147" s="12">
        <f>SUMIFS(周检修业务统计数据!L:L,周检修业务统计数据!B:B,B147,周检修业务统计数据!C:C,"干箱",周检修业务统计数据!D:D,"COS")*1.06</f>
        <v>385.0238</v>
      </c>
      <c r="J147" s="12">
        <f>SUMIFS(周检修业务统计数据!E:E,周检修业务统计数据!B:B,B147,周检修业务统计数据!C:C,"干箱",周检修业务统计数据!D:D,"&lt;&gt;COS")</f>
        <v>0</v>
      </c>
      <c r="K147" s="12">
        <f>J147-'2025年18周'!J147</f>
        <v>0</v>
      </c>
      <c r="L147" s="85">
        <f>(SUMIFS(周检修业务统计数据!I:I,周检修业务统计数据!B:B,B147,周检修业务统计数据!C:C,"干箱",周检修业务统计数据!D:D,"&lt;&gt;COS")+SUMIFS(周检修业务统计数据!J:J,周检修业务统计数据!B:B,B147,周检修业务统计数据!C:C,"干箱",周检修业务统计数据!D:D,"&lt;&gt;COS"))*1.13++SUMIFS(周检修业务统计数据!L:L,周检修业务统计数据!B:B,B147,周检修业务统计数据!C:C,"干箱",周检修业务统计数据!D:D,"&lt;&gt;COS")*1.06</f>
        <v>0</v>
      </c>
      <c r="M147" s="86" t="e">
        <f>(L147-'2025年18周'!L147)/'2025年18周'!L147</f>
        <v>#DIV/0!</v>
      </c>
      <c r="N147" s="87" t="e">
        <f t="shared" si="28"/>
        <v>#DIV/0!</v>
      </c>
      <c r="O147" s="86" t="e">
        <f>(N147-'2025年18周'!N147)/'2025年18周'!N147</f>
        <v>#DIV/0!</v>
      </c>
      <c r="P147" s="88">
        <f>(SUMIFS(周检修业务统计数据!I:I,周检修业务统计数据!B:B,B147,周检修业务统计数据!C:C,"&lt;&gt;干箱")+SUMIFS(周检修业务统计数据!J:J,周检修业务统计数据!B:B,B147,周检修业务统计数据!C:C,"&lt;&gt;干箱"))*1.13++SUMIFS(周检修业务统计数据!L:L,周检修业务统计数据!B:B,B147,周检修业务统计数据!C:C,"&lt;&gt;干箱")*1.06</f>
        <v>0</v>
      </c>
      <c r="Q147" s="53"/>
      <c r="R147" s="53"/>
      <c r="S147" s="53">
        <f t="shared" si="33"/>
        <v>0</v>
      </c>
      <c r="T147" s="12">
        <f t="shared" si="30"/>
        <v>7</v>
      </c>
      <c r="U147" s="87">
        <f t="shared" si="31"/>
        <v>7078</v>
      </c>
      <c r="V147" s="87" t="e">
        <f t="shared" si="32"/>
        <v>#DIV/0!</v>
      </c>
      <c r="W147" s="12"/>
      <c r="X147" s="144"/>
      <c r="Y147" s="130"/>
      <c r="Z147" s="53"/>
      <c r="AA147" s="53"/>
      <c r="AB147" s="53"/>
      <c r="AC147" s="237"/>
    </row>
    <row r="148" s="164" customFormat="1" spans="1:29">
      <c r="A148" s="13" t="s">
        <v>126</v>
      </c>
      <c r="B148" s="12" t="s">
        <v>129</v>
      </c>
      <c r="C148" s="12">
        <f>SUMIFS(周检修业务统计数据!E:E,周检修业务统计数据!B:B,B148,周检修业务统计数据!C:C,"干箱",周检修业务统计数据!D:D,"COS")</f>
        <v>0</v>
      </c>
      <c r="D148" s="12">
        <f>C148-'2025年18周'!C148</f>
        <v>0</v>
      </c>
      <c r="E148" s="85">
        <f>(SUMIFS(周检修业务统计数据!I:I,周检修业务统计数据!B:B,B148,周检修业务统计数据!C:C,"干箱",周检修业务统计数据!D:D,"COS")+SUMIFS(周检修业务统计数据!J:J,周检修业务统计数据!B:B,B148,周检修业务统计数据!C:C,"干箱",周检修业务统计数据!D:D,"COS"))*1.13</f>
        <v>0</v>
      </c>
      <c r="F148" s="86" t="e">
        <f>(E148-'2025年18周'!E148)/'2025年18周'!E148</f>
        <v>#DIV/0!</v>
      </c>
      <c r="G148" s="87" t="e">
        <f t="shared" si="27"/>
        <v>#DIV/0!</v>
      </c>
      <c r="H148" s="86" t="e">
        <f>(G148-'2025年18周'!G148)/'2025年18周'!G148</f>
        <v>#DIV/0!</v>
      </c>
      <c r="I148" s="12">
        <f>SUMIFS(周检修业务统计数据!L:L,周检修业务统计数据!B:B,B148,周检修业务统计数据!C:C,"干箱",周检修业务统计数据!D:D,"COS")*1.06</f>
        <v>0</v>
      </c>
      <c r="J148" s="12">
        <f>SUMIFS(周检修业务统计数据!E:E,周检修业务统计数据!B:B,B148,周检修业务统计数据!C:C,"干箱",周检修业务统计数据!D:D,"&lt;&gt;COS")</f>
        <v>0</v>
      </c>
      <c r="K148" s="12">
        <f>J148-'2025年18周'!J148</f>
        <v>0</v>
      </c>
      <c r="L148" s="85">
        <f>(SUMIFS(周检修业务统计数据!I:I,周检修业务统计数据!B:B,B148,周检修业务统计数据!C:C,"干箱",周检修业务统计数据!D:D,"&lt;&gt;COS")+SUMIFS(周检修业务统计数据!J:J,周检修业务统计数据!B:B,B148,周检修业务统计数据!C:C,"干箱",周检修业务统计数据!D:D,"&lt;&gt;COS"))*1.13++SUMIFS(周检修业务统计数据!L:L,周检修业务统计数据!B:B,B148,周检修业务统计数据!C:C,"干箱",周检修业务统计数据!D:D,"&lt;&gt;COS")*1.06</f>
        <v>0</v>
      </c>
      <c r="M148" s="86" t="e">
        <f>(L148-'2025年18周'!L148)/'2025年18周'!L148</f>
        <v>#DIV/0!</v>
      </c>
      <c r="N148" s="87" t="e">
        <f t="shared" si="28"/>
        <v>#DIV/0!</v>
      </c>
      <c r="O148" s="86" t="e">
        <f>(N148-'2025年18周'!N148)/'2025年18周'!N148</f>
        <v>#DIV/0!</v>
      </c>
      <c r="P148" s="88">
        <f>(SUMIFS(周检修业务统计数据!I:I,周检修业务统计数据!B:B,B148,周检修业务统计数据!C:C,"&lt;&gt;干箱")+SUMIFS(周检修业务统计数据!J:J,周检修业务统计数据!B:B,B148,周检修业务统计数据!C:C,"&lt;&gt;干箱"))*1.13++SUMIFS(周检修业务统计数据!L:L,周检修业务统计数据!B:B,B148,周检修业务统计数据!C:C,"&lt;&gt;干箱")*1.06</f>
        <v>0</v>
      </c>
      <c r="Q148" s="53"/>
      <c r="R148" s="53"/>
      <c r="S148" s="53">
        <f t="shared" si="33"/>
        <v>0</v>
      </c>
      <c r="T148" s="12">
        <f t="shared" si="30"/>
        <v>0</v>
      </c>
      <c r="U148" s="87">
        <f t="shared" si="31"/>
        <v>0</v>
      </c>
      <c r="V148" s="87" t="e">
        <f t="shared" si="32"/>
        <v>#DIV/0!</v>
      </c>
      <c r="W148" s="12"/>
      <c r="X148" s="144"/>
      <c r="Y148" s="130"/>
      <c r="Z148" s="53"/>
      <c r="AA148" s="53"/>
      <c r="AB148" s="53"/>
      <c r="AC148" s="237" t="s">
        <v>231</v>
      </c>
    </row>
    <row r="149" s="164" customFormat="1" spans="1:29">
      <c r="A149" s="13" t="s">
        <v>126</v>
      </c>
      <c r="B149" s="12" t="s">
        <v>130</v>
      </c>
      <c r="C149" s="12">
        <f>SUMIFS(周检修业务统计数据!E:E,周检修业务统计数据!B:B,B149,周检修业务统计数据!C:C,"干箱",周检修业务统计数据!D:D,"COS")</f>
        <v>191</v>
      </c>
      <c r="D149" s="12">
        <f>C149-'2025年18周'!C149</f>
        <v>82</v>
      </c>
      <c r="E149" s="85">
        <f>(SUMIFS(周检修业务统计数据!I:I,周检修业务统计数据!B:B,B149,周检修业务统计数据!C:C,"干箱",周检修业务统计数据!D:D,"COS")+SUMIFS(周检修业务统计数据!J:J,周检修业务统计数据!B:B,B149,周检修业务统计数据!C:C,"干箱",周检修业务统计数据!D:D,"COS"))*1.13</f>
        <v>62637.73</v>
      </c>
      <c r="F149" s="86">
        <f>(E149-'2025年18周'!E149)/'2025年18周'!E149</f>
        <v>0.7278</v>
      </c>
      <c r="G149" s="87">
        <f t="shared" si="27"/>
        <v>328</v>
      </c>
      <c r="H149" s="86">
        <f>(G149-'2025年18周'!G149)/'2025年18周'!G149</f>
        <v>-0.015</v>
      </c>
      <c r="I149" s="12">
        <f>SUMIFS(周检修业务统计数据!L:L,周检修业务统计数据!B:B,B149,周检修业务统计数据!C:C,"干箱",周检修业务统计数据!D:D,"COS")*1.06</f>
        <v>14284.0618</v>
      </c>
      <c r="J149" s="12">
        <f>SUMIFS(周检修业务统计数据!E:E,周检修业务统计数据!B:B,B149,周检修业务统计数据!C:C,"干箱",周检修业务统计数据!D:D,"&lt;&gt;COS")</f>
        <v>0</v>
      </c>
      <c r="K149" s="12">
        <f>J149-'2025年18周'!J149</f>
        <v>-2</v>
      </c>
      <c r="L149" s="85">
        <f>(SUMIFS(周检修业务统计数据!I:I,周检修业务统计数据!B:B,B149,周检修业务统计数据!C:C,"干箱",周检修业务统计数据!D:D,"&lt;&gt;COS")+SUMIFS(周检修业务统计数据!J:J,周检修业务统计数据!B:B,B149,周检修业务统计数据!C:C,"干箱",周检修业务统计数据!D:D,"&lt;&gt;COS"))*1.13++SUMIFS(周检修业务统计数据!L:L,周检修业务统计数据!B:B,B149,周检修业务统计数据!C:C,"干箱",周检修业务统计数据!D:D,"&lt;&gt;COS")*1.06</f>
        <v>0</v>
      </c>
      <c r="M149" s="86">
        <f>(L149-'2025年18周'!L149)/'2025年18周'!L149</f>
        <v>-1</v>
      </c>
      <c r="N149" s="87" t="e">
        <f t="shared" si="28"/>
        <v>#DIV/0!</v>
      </c>
      <c r="O149" s="86" t="e">
        <f>(N149-'2025年18周'!N149)/'2025年18周'!N149</f>
        <v>#DIV/0!</v>
      </c>
      <c r="P149" s="88">
        <f>(SUMIFS(周检修业务统计数据!I:I,周检修业务统计数据!B:B,B149,周检修业务统计数据!C:C,"&lt;&gt;干箱")+SUMIFS(周检修业务统计数据!J:J,周检修业务统计数据!B:B,B149,周检修业务统计数据!C:C,"&lt;&gt;干箱"))*1.13++SUMIFS(周检修业务统计数据!L:L,周检修业务统计数据!B:B,B149,周检修业务统计数据!C:C,"&lt;&gt;干箱")*1.06</f>
        <v>0</v>
      </c>
      <c r="Q149" s="53"/>
      <c r="R149" s="53"/>
      <c r="S149" s="53">
        <f t="shared" si="33"/>
        <v>0</v>
      </c>
      <c r="T149" s="12">
        <f t="shared" si="30"/>
        <v>191</v>
      </c>
      <c r="U149" s="87">
        <f t="shared" si="31"/>
        <v>76922</v>
      </c>
      <c r="V149" s="87" t="e">
        <f t="shared" si="32"/>
        <v>#DIV/0!</v>
      </c>
      <c r="W149" s="12"/>
      <c r="X149" s="144"/>
      <c r="Y149" s="130"/>
      <c r="Z149" s="53"/>
      <c r="AA149" s="53"/>
      <c r="AB149" s="53"/>
      <c r="AC149" s="237" t="s">
        <v>233</v>
      </c>
    </row>
    <row r="150" s="164" customFormat="1" spans="1:29">
      <c r="A150" s="13" t="s">
        <v>126</v>
      </c>
      <c r="B150" s="12" t="s">
        <v>131</v>
      </c>
      <c r="C150" s="12">
        <f>SUMIFS(周检修业务统计数据!E:E,周检修业务统计数据!B:B,B150,周检修业务统计数据!C:C,"干箱",周检修业务统计数据!D:D,"COS")</f>
        <v>0</v>
      </c>
      <c r="D150" s="12">
        <f>C150-'2025年18周'!C150</f>
        <v>-19</v>
      </c>
      <c r="E150" s="85">
        <f>(SUMIFS(周检修业务统计数据!I:I,周检修业务统计数据!B:B,B150,周检修业务统计数据!C:C,"干箱",周检修业务统计数据!D:D,"COS")+SUMIFS(周检修业务统计数据!J:J,周检修业务统计数据!B:B,B150,周检修业务统计数据!C:C,"干箱",周检修业务统计数据!D:D,"COS"))*1.13</f>
        <v>0</v>
      </c>
      <c r="F150" s="86">
        <f>(E150-'2025年18周'!E150)/'2025年18周'!E150</f>
        <v>-1</v>
      </c>
      <c r="G150" s="87" t="e">
        <f t="shared" si="27"/>
        <v>#DIV/0!</v>
      </c>
      <c r="H150" s="86" t="e">
        <f>(G150-'2025年18周'!G150)/'2025年18周'!G150</f>
        <v>#DIV/0!</v>
      </c>
      <c r="I150" s="12">
        <f>SUMIFS(周检修业务统计数据!L:L,周检修业务统计数据!B:B,B150,周检修业务统计数据!C:C,"干箱",周检修业务统计数据!D:D,"COS")*1.06</f>
        <v>0</v>
      </c>
      <c r="J150" s="12">
        <f>SUMIFS(周检修业务统计数据!E:E,周检修业务统计数据!B:B,B150,周检修业务统计数据!C:C,"干箱",周检修业务统计数据!D:D,"&lt;&gt;COS")</f>
        <v>0</v>
      </c>
      <c r="K150" s="12">
        <f>J150-'2025年18周'!J150</f>
        <v>0</v>
      </c>
      <c r="L150" s="85">
        <f>(SUMIFS(周检修业务统计数据!I:I,周检修业务统计数据!B:B,B150,周检修业务统计数据!C:C,"干箱",周检修业务统计数据!D:D,"&lt;&gt;COS")+SUMIFS(周检修业务统计数据!J:J,周检修业务统计数据!B:B,B150,周检修业务统计数据!C:C,"干箱",周检修业务统计数据!D:D,"&lt;&gt;COS"))*1.13++SUMIFS(周检修业务统计数据!L:L,周检修业务统计数据!B:B,B150,周检修业务统计数据!C:C,"干箱",周检修业务统计数据!D:D,"&lt;&gt;COS")*1.06</f>
        <v>0</v>
      </c>
      <c r="M150" s="86" t="e">
        <f>(L150-'2025年18周'!L150)/'2025年18周'!L150</f>
        <v>#DIV/0!</v>
      </c>
      <c r="N150" s="87" t="e">
        <f t="shared" si="28"/>
        <v>#DIV/0!</v>
      </c>
      <c r="O150" s="86" t="e">
        <f>(N150-'2025年18周'!N150)/'2025年18周'!N150</f>
        <v>#DIV/0!</v>
      </c>
      <c r="P150" s="88">
        <f>(SUMIFS(周检修业务统计数据!I:I,周检修业务统计数据!B:B,B150,周检修业务统计数据!C:C,"&lt;&gt;干箱")+SUMIFS(周检修业务统计数据!J:J,周检修业务统计数据!B:B,B150,周检修业务统计数据!C:C,"&lt;&gt;干箱"))*1.13++SUMIFS(周检修业务统计数据!L:L,周检修业务统计数据!B:B,B150,周检修业务统计数据!C:C,"&lt;&gt;干箱")*1.06</f>
        <v>0</v>
      </c>
      <c r="Q150" s="53"/>
      <c r="R150" s="53"/>
      <c r="S150" s="53">
        <f t="shared" si="33"/>
        <v>0</v>
      </c>
      <c r="T150" s="12">
        <f t="shared" si="30"/>
        <v>0</v>
      </c>
      <c r="U150" s="87">
        <f t="shared" si="31"/>
        <v>0</v>
      </c>
      <c r="V150" s="87" t="e">
        <f t="shared" si="32"/>
        <v>#DIV/0!</v>
      </c>
      <c r="W150" s="12"/>
      <c r="X150" s="144"/>
      <c r="Y150" s="130"/>
      <c r="Z150" s="53"/>
      <c r="AA150" s="53"/>
      <c r="AB150" s="53"/>
      <c r="AC150" s="237"/>
    </row>
    <row r="151" s="164" customFormat="1" spans="1:29">
      <c r="A151" s="13" t="s">
        <v>126</v>
      </c>
      <c r="B151" s="12" t="s">
        <v>132</v>
      </c>
      <c r="C151" s="12">
        <f>SUMIFS(周检修业务统计数据!E:E,周检修业务统计数据!B:B,B151,周检修业务统计数据!C:C,"干箱",周检修业务统计数据!D:D,"COS")</f>
        <v>0</v>
      </c>
      <c r="D151" s="12">
        <f>C151-'2025年18周'!C151</f>
        <v>-22</v>
      </c>
      <c r="E151" s="85">
        <f>(SUMIFS(周检修业务统计数据!I:I,周检修业务统计数据!B:B,B151,周检修业务统计数据!C:C,"干箱",周检修业务统计数据!D:D,"COS")+SUMIFS(周检修业务统计数据!J:J,周检修业务统计数据!B:B,B151,周检修业务统计数据!C:C,"干箱",周检修业务统计数据!D:D,"COS"))*1.13</f>
        <v>0</v>
      </c>
      <c r="F151" s="86">
        <f>(E151-'2025年18周'!E151)/'2025年18周'!E151</f>
        <v>-1</v>
      </c>
      <c r="G151" s="87" t="e">
        <f t="shared" si="27"/>
        <v>#DIV/0!</v>
      </c>
      <c r="H151" s="86" t="e">
        <f>(G151-'2025年18周'!G151)/'2025年18周'!G151</f>
        <v>#DIV/0!</v>
      </c>
      <c r="I151" s="12">
        <f>SUMIFS(周检修业务统计数据!L:L,周检修业务统计数据!B:B,B151,周检修业务统计数据!C:C,"干箱",周检修业务统计数据!D:D,"COS")*1.06</f>
        <v>0</v>
      </c>
      <c r="J151" s="12">
        <f>SUMIFS(周检修业务统计数据!E:E,周检修业务统计数据!B:B,B151,周检修业务统计数据!C:C,"干箱",周检修业务统计数据!D:D,"&lt;&gt;COS")</f>
        <v>0</v>
      </c>
      <c r="K151" s="12">
        <f>J151-'2025年18周'!J151</f>
        <v>0</v>
      </c>
      <c r="L151" s="85">
        <f>(SUMIFS(周检修业务统计数据!I:I,周检修业务统计数据!B:B,B151,周检修业务统计数据!C:C,"干箱",周检修业务统计数据!D:D,"&lt;&gt;COS")+SUMIFS(周检修业务统计数据!J:J,周检修业务统计数据!B:B,B151,周检修业务统计数据!C:C,"干箱",周检修业务统计数据!D:D,"&lt;&gt;COS"))*1.13++SUMIFS(周检修业务统计数据!L:L,周检修业务统计数据!B:B,B151,周检修业务统计数据!C:C,"干箱",周检修业务统计数据!D:D,"&lt;&gt;COS")*1.06</f>
        <v>0</v>
      </c>
      <c r="M151" s="86" t="e">
        <f>(L151-'2025年18周'!L151)/'2025年18周'!L151</f>
        <v>#DIV/0!</v>
      </c>
      <c r="N151" s="87" t="e">
        <f t="shared" si="28"/>
        <v>#DIV/0!</v>
      </c>
      <c r="O151" s="86" t="e">
        <f>(N151-'2025年18周'!N151)/'2025年18周'!N151</f>
        <v>#DIV/0!</v>
      </c>
      <c r="P151" s="88">
        <f>(SUMIFS(周检修业务统计数据!I:I,周检修业务统计数据!B:B,B151,周检修业务统计数据!C:C,"&lt;&gt;干箱")+SUMIFS(周检修业务统计数据!J:J,周检修业务统计数据!B:B,B151,周检修业务统计数据!C:C,"&lt;&gt;干箱"))*1.13++SUMIFS(周检修业务统计数据!L:L,周检修业务统计数据!B:B,B151,周检修业务统计数据!C:C,"&lt;&gt;干箱")*1.06</f>
        <v>0</v>
      </c>
      <c r="Q151" s="53"/>
      <c r="R151" s="53"/>
      <c r="S151" s="53">
        <f t="shared" si="33"/>
        <v>0</v>
      </c>
      <c r="T151" s="12">
        <f t="shared" si="30"/>
        <v>0</v>
      </c>
      <c r="U151" s="87">
        <f t="shared" si="31"/>
        <v>0</v>
      </c>
      <c r="V151" s="87" t="e">
        <f t="shared" si="32"/>
        <v>#DIV/0!</v>
      </c>
      <c r="W151" s="12"/>
      <c r="X151" s="144"/>
      <c r="Y151" s="130"/>
      <c r="Z151" s="53"/>
      <c r="AA151" s="53"/>
      <c r="AB151" s="53"/>
      <c r="AC151" s="237"/>
    </row>
    <row r="152" s="164" customFormat="1" spans="1:29">
      <c r="A152" s="13" t="s">
        <v>126</v>
      </c>
      <c r="B152" s="12" t="s">
        <v>133</v>
      </c>
      <c r="C152" s="12">
        <f>SUMIFS(周检修业务统计数据!E:E,周检修业务统计数据!B:B,B152,周检修业务统计数据!C:C,"干箱",周检修业务统计数据!D:D,"COS")</f>
        <v>175</v>
      </c>
      <c r="D152" s="12">
        <f>C152-'2025年18周'!C152</f>
        <v>-66</v>
      </c>
      <c r="E152" s="85">
        <f>(SUMIFS(周检修业务统计数据!I:I,周检修业务统计数据!B:B,B152,周检修业务统计数据!C:C,"干箱",周检修业务统计数据!D:D,"COS")+SUMIFS(周检修业务统计数据!J:J,周检修业务统计数据!B:B,B152,周检修业务统计数据!C:C,"干箱",周检修业务统计数据!D:D,"COS"))*1.13</f>
        <v>16085.35</v>
      </c>
      <c r="F152" s="86">
        <f>(E152-'2025年18周'!E152)/'2025年18周'!E152</f>
        <v>-0.4785</v>
      </c>
      <c r="G152" s="87">
        <f t="shared" si="27"/>
        <v>92</v>
      </c>
      <c r="H152" s="86">
        <f>(G152-'2025年18周'!G152)/'2025年18周'!G152</f>
        <v>-0.2813</v>
      </c>
      <c r="I152" s="12">
        <f>SUMIFS(周检修业务统计数据!L:L,周检修业务统计数据!B:B,B152,周检修业务统计数据!C:C,"干箱",周检修业务统计数据!D:D,"COS")*1.06</f>
        <v>11924.629</v>
      </c>
      <c r="J152" s="12">
        <f>SUMIFS(周检修业务统计数据!E:E,周检修业务统计数据!B:B,B152,周检修业务统计数据!C:C,"干箱",周检修业务统计数据!D:D,"&lt;&gt;COS")</f>
        <v>0</v>
      </c>
      <c r="K152" s="12">
        <f>J152-'2025年18周'!J152</f>
        <v>0</v>
      </c>
      <c r="L152" s="85">
        <f>(SUMIFS(周检修业务统计数据!I:I,周检修业务统计数据!B:B,B152,周检修业务统计数据!C:C,"干箱",周检修业务统计数据!D:D,"&lt;&gt;COS")+SUMIFS(周检修业务统计数据!J:J,周检修业务统计数据!B:B,B152,周检修业务统计数据!C:C,"干箱",周检修业务统计数据!D:D,"&lt;&gt;COS"))*1.13++SUMIFS(周检修业务统计数据!L:L,周检修业务统计数据!B:B,B152,周检修业务统计数据!C:C,"干箱",周检修业务统计数据!D:D,"&lt;&gt;COS")*1.06</f>
        <v>0</v>
      </c>
      <c r="M152" s="86" t="e">
        <f>(L152-'2025年18周'!L152)/'2025年18周'!L152</f>
        <v>#DIV/0!</v>
      </c>
      <c r="N152" s="87" t="e">
        <f t="shared" si="28"/>
        <v>#DIV/0!</v>
      </c>
      <c r="O152" s="86" t="e">
        <f>(N152-'2025年18周'!N152)/'2025年18周'!N152</f>
        <v>#DIV/0!</v>
      </c>
      <c r="P152" s="88">
        <f>(SUMIFS(周检修业务统计数据!I:I,周检修业务统计数据!B:B,B152,周检修业务统计数据!C:C,"&lt;&gt;干箱")+SUMIFS(周检修业务统计数据!J:J,周检修业务统计数据!B:B,B152,周检修业务统计数据!C:C,"&lt;&gt;干箱"))*1.13++SUMIFS(周检修业务统计数据!L:L,周检修业务统计数据!B:B,B152,周检修业务统计数据!C:C,"&lt;&gt;干箱")*1.06</f>
        <v>0</v>
      </c>
      <c r="Q152" s="53"/>
      <c r="R152" s="53"/>
      <c r="S152" s="53">
        <f t="shared" ref="S152:S159" si="34">S293</f>
        <v>0</v>
      </c>
      <c r="T152" s="12">
        <f t="shared" si="30"/>
        <v>175</v>
      </c>
      <c r="U152" s="87">
        <f t="shared" si="31"/>
        <v>28010</v>
      </c>
      <c r="V152" s="87" t="e">
        <f t="shared" si="32"/>
        <v>#DIV/0!</v>
      </c>
      <c r="W152" s="12"/>
      <c r="X152" s="144"/>
      <c r="Y152" s="130"/>
      <c r="Z152" s="53"/>
      <c r="AA152" s="53"/>
      <c r="AB152" s="53"/>
      <c r="AC152" s="237"/>
    </row>
    <row r="153" spans="1:29">
      <c r="A153" s="240" t="s">
        <v>55</v>
      </c>
      <c r="B153" s="6" t="s">
        <v>134</v>
      </c>
      <c r="C153" s="6">
        <f>SUMIFS(周检修业务统计数据!E:E,周检修业务统计数据!B:B,B153,周检修业务统计数据!C:C,"干箱",周检修业务统计数据!D:D,"COS")</f>
        <v>1</v>
      </c>
      <c r="D153" s="6">
        <f>C153-'2025年18周'!C153</f>
        <v>-3</v>
      </c>
      <c r="E153" s="75">
        <f>(SUMIFS(周检修业务统计数据!I:I,周检修业务统计数据!B:B,B153,周检修业务统计数据!C:C,"干箱",周检修业务统计数据!D:D,"COS")+SUMIFS(周检修业务统计数据!J:J,周检修业务统计数据!B:B,B153,周检修业务统计数据!C:C,"干箱",周检修业务统计数据!D:D,"COS"))*1.13</f>
        <v>1804.54</v>
      </c>
      <c r="F153" s="76">
        <f>(E153-'2025年18周'!E153)/'2025年18周'!E153</f>
        <v>-0.2246</v>
      </c>
      <c r="G153" s="77">
        <f t="shared" si="27"/>
        <v>1805</v>
      </c>
      <c r="H153" s="76">
        <f>(G153-'2025年18周'!G153)/'2025年18周'!G153</f>
        <v>2.1014</v>
      </c>
      <c r="I153" s="6">
        <f>SUMIFS(周检修业务统计数据!L:L,周检修业务统计数据!B:B,B153,周检修业务统计数据!C:C,"干箱",周检修业务统计数据!D:D,"COS")*1.06</f>
        <v>55.0034</v>
      </c>
      <c r="J153" s="6">
        <f>SUMIFS(周检修业务统计数据!E:E,周检修业务统计数据!B:B,B153,周检修业务统计数据!C:C,"干箱",周检修业务统计数据!D:D,"&lt;&gt;COS")</f>
        <v>0</v>
      </c>
      <c r="K153" s="6">
        <f>J153-'2025年18周'!J153</f>
        <v>0</v>
      </c>
      <c r="L153" s="75">
        <f>(SUMIFS(周检修业务统计数据!I:I,周检修业务统计数据!B:B,B153,周检修业务统计数据!C:C,"干箱",周检修业务统计数据!D:D,"&lt;&gt;COS")+SUMIFS(周检修业务统计数据!J:J,周检修业务统计数据!B:B,B153,周检修业务统计数据!C:C,"干箱",周检修业务统计数据!D:D,"&lt;&gt;COS"))*1.13++SUMIFS(周检修业务统计数据!L:L,周检修业务统计数据!B:B,B153,周检修业务统计数据!C:C,"干箱",周检修业务统计数据!D:D,"&lt;&gt;COS")*1.06</f>
        <v>0</v>
      </c>
      <c r="M153" s="76" t="e">
        <f>(L153-'2025年18周'!L153)/'2025年18周'!L153</f>
        <v>#DIV/0!</v>
      </c>
      <c r="N153" s="77" t="e">
        <f t="shared" si="28"/>
        <v>#DIV/0!</v>
      </c>
      <c r="O153" s="76" t="e">
        <f>(N153-'2025年18周'!N153)/'2025年18周'!N153</f>
        <v>#DIV/0!</v>
      </c>
      <c r="P153" s="78">
        <f>(SUMIFS(周检修业务统计数据!I:I,周检修业务统计数据!B:B,B153,周检修业务统计数据!C:C,"&lt;&gt;干箱")+SUMIFS(周检修业务统计数据!J:J,周检修业务统计数据!B:B,B153,周检修业务统计数据!C:C,"&lt;&gt;干箱"))*1.13++SUMIFS(周检修业务统计数据!L:L,周检修业务统计数据!B:B,B153,周检修业务统计数据!C:C,"&lt;&gt;干箱")*1.06</f>
        <v>0</v>
      </c>
      <c r="Q153" s="3"/>
      <c r="R153" s="3"/>
      <c r="S153" s="3">
        <f t="shared" si="34"/>
        <v>0</v>
      </c>
      <c r="T153" s="238">
        <f t="shared" si="30"/>
        <v>1</v>
      </c>
      <c r="U153" s="77">
        <f t="shared" si="31"/>
        <v>1860</v>
      </c>
      <c r="V153" s="77" t="e">
        <f t="shared" si="32"/>
        <v>#DIV/0!</v>
      </c>
      <c r="W153" s="6"/>
      <c r="X153" s="146"/>
      <c r="Y153" s="130"/>
      <c r="Z153" s="3"/>
      <c r="AA153" s="3"/>
      <c r="AB153" s="3"/>
      <c r="AC153" s="4"/>
    </row>
    <row r="154" spans="1:29">
      <c r="A154" s="240" t="s">
        <v>68</v>
      </c>
      <c r="B154" s="6" t="s">
        <v>135</v>
      </c>
      <c r="C154" s="6">
        <f>SUMIFS(周检修业务统计数据!E:E,周检修业务统计数据!B:B,B154,周检修业务统计数据!C:C,"干箱",周检修业务统计数据!D:D,"COS")</f>
        <v>383</v>
      </c>
      <c r="D154" s="6">
        <f>C154-'2025年18周'!C154</f>
        <v>-24</v>
      </c>
      <c r="E154" s="75">
        <f>(SUMIFS(周检修业务统计数据!I:I,周检修业务统计数据!B:B,B154,周检修业务统计数据!C:C,"干箱",周检修业务统计数据!D:D,"COS")+SUMIFS(周检修业务统计数据!J:J,周检修业务统计数据!B:B,B154,周检修业务统计数据!C:C,"干箱",周检修业务统计数据!D:D,"COS"))*1.13</f>
        <v>94069.46</v>
      </c>
      <c r="F154" s="76">
        <f>(E154-'2025年18周'!E154)/'2025年18周'!E154</f>
        <v>0.0436</v>
      </c>
      <c r="G154" s="77">
        <f t="shared" si="27"/>
        <v>246</v>
      </c>
      <c r="H154" s="76">
        <f>(G154-'2025年18周'!G154)/'2025年18周'!G154</f>
        <v>0.1131</v>
      </c>
      <c r="I154" s="6">
        <f>SUMIFS(周检修业务统计数据!L:L,周检修业务统计数据!B:B,B154,周检修业务统计数据!C:C,"干箱",周检修业务统计数据!D:D,"COS")*1.06</f>
        <v>23785.1598</v>
      </c>
      <c r="J154" s="6">
        <f>SUMIFS(周检修业务统计数据!E:E,周检修业务统计数据!B:B,B154,周检修业务统计数据!C:C,"干箱",周检修业务统计数据!D:D,"&lt;&gt;COS")</f>
        <v>0</v>
      </c>
      <c r="K154" s="6">
        <f>J154-'2025年18周'!J154</f>
        <v>0</v>
      </c>
      <c r="L154" s="75">
        <f>(SUMIFS(周检修业务统计数据!I:I,周检修业务统计数据!B:B,B154,周检修业务统计数据!C:C,"干箱",周检修业务统计数据!D:D,"&lt;&gt;COS")+SUMIFS(周检修业务统计数据!J:J,周检修业务统计数据!B:B,B154,周检修业务统计数据!C:C,"干箱",周检修业务统计数据!D:D,"&lt;&gt;COS"))*1.13++SUMIFS(周检修业务统计数据!L:L,周检修业务统计数据!B:B,B154,周检修业务统计数据!C:C,"干箱",周检修业务统计数据!D:D,"&lt;&gt;COS")*1.06</f>
        <v>0</v>
      </c>
      <c r="M154" s="76" t="e">
        <f>(L154-'2025年18周'!L154)/'2025年18周'!L154</f>
        <v>#DIV/0!</v>
      </c>
      <c r="N154" s="77" t="e">
        <f t="shared" si="28"/>
        <v>#DIV/0!</v>
      </c>
      <c r="O154" s="76" t="e">
        <f>(N154-'2025年18周'!N154)/'2025年18周'!N154</f>
        <v>#DIV/0!</v>
      </c>
      <c r="P154" s="78">
        <f>(SUMIFS(周检修业务统计数据!I:I,周检修业务统计数据!B:B,B154,周检修业务统计数据!C:C,"&lt;&gt;干箱")+SUMIFS(周检修业务统计数据!J:J,周检修业务统计数据!B:B,B154,周检修业务统计数据!C:C,"&lt;&gt;干箱"))*1.13++SUMIFS(周检修业务统计数据!L:L,周检修业务统计数据!B:B,B154,周检修业务统计数据!C:C,"&lt;&gt;干箱")*1.06</f>
        <v>0</v>
      </c>
      <c r="Q154" s="3"/>
      <c r="R154" s="3"/>
      <c r="S154" s="3">
        <f t="shared" si="34"/>
        <v>0</v>
      </c>
      <c r="T154" s="238">
        <f t="shared" si="30"/>
        <v>383</v>
      </c>
      <c r="U154" s="77">
        <f t="shared" si="31"/>
        <v>117855</v>
      </c>
      <c r="V154" s="77" t="e">
        <f t="shared" si="32"/>
        <v>#DIV/0!</v>
      </c>
      <c r="W154" s="6"/>
      <c r="X154" s="146"/>
      <c r="Y154" s="130"/>
      <c r="Z154" s="3"/>
      <c r="AA154" s="3"/>
      <c r="AB154" s="3"/>
      <c r="AC154" s="4"/>
    </row>
    <row r="155" spans="1:29">
      <c r="A155" s="240" t="s">
        <v>55</v>
      </c>
      <c r="B155" s="6" t="s">
        <v>136</v>
      </c>
      <c r="C155" s="6">
        <f>SUMIFS(周检修业务统计数据!E:E,周检修业务统计数据!B:B,B155,周检修业务统计数据!C:C,"干箱",周检修业务统计数据!D:D,"COS")</f>
        <v>94</v>
      </c>
      <c r="D155" s="6">
        <f>C155-'2025年18周'!C155</f>
        <v>52</v>
      </c>
      <c r="E155" s="75">
        <f>(SUMIFS(周检修业务统计数据!I:I,周检修业务统计数据!B:B,B155,周检修业务统计数据!C:C,"干箱",周检修业务统计数据!D:D,"COS")+SUMIFS(周检修业务统计数据!J:J,周检修业务统计数据!B:B,B155,周检修业务统计数据!C:C,"干箱",周检修业务统计数据!D:D,"COS"))*1.13</f>
        <v>14394.08</v>
      </c>
      <c r="F155" s="76">
        <f>(E155-'2025年18周'!E155)/'2025年18周'!E155</f>
        <v>0.9205</v>
      </c>
      <c r="G155" s="77">
        <f t="shared" si="27"/>
        <v>153</v>
      </c>
      <c r="H155" s="76">
        <f>(G155-'2025年18周'!G155)/'2025年18周'!G155</f>
        <v>-0.1404</v>
      </c>
      <c r="I155" s="6">
        <f>SUMIFS(周检修业务统计数据!L:L,周检修业务统计数据!B:B,B155,周检修业务统计数据!C:C,"干箱",周检修业务统计数据!D:D,"COS")*1.06</f>
        <v>5170.3196</v>
      </c>
      <c r="J155" s="6">
        <f>SUMIFS(周检修业务统计数据!E:E,周检修业务统计数据!B:B,B155,周检修业务统计数据!C:C,"干箱",周检修业务统计数据!D:D,"&lt;&gt;COS")</f>
        <v>0</v>
      </c>
      <c r="K155" s="6">
        <f>J155-'2025年18周'!J155</f>
        <v>0</v>
      </c>
      <c r="L155" s="75">
        <f>(SUMIFS(周检修业务统计数据!I:I,周检修业务统计数据!B:B,B155,周检修业务统计数据!C:C,"干箱",周检修业务统计数据!D:D,"&lt;&gt;COS")+SUMIFS(周检修业务统计数据!J:J,周检修业务统计数据!B:B,B155,周检修业务统计数据!C:C,"干箱",周检修业务统计数据!D:D,"&lt;&gt;COS"))*1.13++SUMIFS(周检修业务统计数据!L:L,周检修业务统计数据!B:B,B155,周检修业务统计数据!C:C,"干箱",周检修业务统计数据!D:D,"&lt;&gt;COS")*1.06</f>
        <v>0</v>
      </c>
      <c r="M155" s="76" t="e">
        <f>(L155-'2025年18周'!L155)/'2025年18周'!L155</f>
        <v>#DIV/0!</v>
      </c>
      <c r="N155" s="77" t="e">
        <f t="shared" si="28"/>
        <v>#DIV/0!</v>
      </c>
      <c r="O155" s="76" t="e">
        <f>(N155-'2025年18周'!N155)/'2025年18周'!N155</f>
        <v>#DIV/0!</v>
      </c>
      <c r="P155" s="78">
        <f>(SUMIFS(周检修业务统计数据!I:I,周检修业务统计数据!B:B,B155,周检修业务统计数据!C:C,"&lt;&gt;干箱")+SUMIFS(周检修业务统计数据!J:J,周检修业务统计数据!B:B,B155,周检修业务统计数据!C:C,"&lt;&gt;干箱"))*1.13++SUMIFS(周检修业务统计数据!L:L,周检修业务统计数据!B:B,B155,周检修业务统计数据!C:C,"&lt;&gt;干箱")*1.06</f>
        <v>0</v>
      </c>
      <c r="Q155" s="3"/>
      <c r="R155" s="3"/>
      <c r="S155" s="3">
        <f t="shared" si="34"/>
        <v>0</v>
      </c>
      <c r="T155" s="238">
        <f t="shared" si="30"/>
        <v>94</v>
      </c>
      <c r="U155" s="77">
        <f t="shared" si="31"/>
        <v>19564</v>
      </c>
      <c r="V155" s="77" t="e">
        <f t="shared" si="32"/>
        <v>#DIV/0!</v>
      </c>
      <c r="W155" s="6"/>
      <c r="X155" s="146"/>
      <c r="Y155" s="130"/>
      <c r="Z155" s="3"/>
      <c r="AA155" s="3"/>
      <c r="AB155" s="3"/>
      <c r="AC155" s="4"/>
    </row>
    <row r="156" spans="1:29">
      <c r="A156" s="240" t="s">
        <v>68</v>
      </c>
      <c r="B156" s="6" t="s">
        <v>137</v>
      </c>
      <c r="C156" s="6">
        <f>SUMIFS(周检修业务统计数据!E:E,周检修业务统计数据!B:B,B156,周检修业务统计数据!C:C,"干箱",周检修业务统计数据!D:D,"COS")</f>
        <v>0</v>
      </c>
      <c r="D156" s="6">
        <f>C156-'2025年18周'!C156</f>
        <v>0</v>
      </c>
      <c r="E156" s="75">
        <f>(SUMIFS(周检修业务统计数据!I:I,周检修业务统计数据!B:B,B156,周检修业务统计数据!C:C,"干箱",周检修业务统计数据!D:D,"COS")+SUMIFS(周检修业务统计数据!J:J,周检修业务统计数据!B:B,B156,周检修业务统计数据!C:C,"干箱",周检修业务统计数据!D:D,"COS"))*1.13</f>
        <v>0</v>
      </c>
      <c r="F156" s="76" t="e">
        <f>(E156-'2025年18周'!E156)/'2025年18周'!E156</f>
        <v>#DIV/0!</v>
      </c>
      <c r="G156" s="77" t="e">
        <f t="shared" si="27"/>
        <v>#DIV/0!</v>
      </c>
      <c r="H156" s="76" t="e">
        <f>(G156-'2025年18周'!G156)/'2025年18周'!G156</f>
        <v>#DIV/0!</v>
      </c>
      <c r="I156" s="6">
        <f>SUMIFS(周检修业务统计数据!L:L,周检修业务统计数据!B:B,B156,周检修业务统计数据!C:C,"干箱",周检修业务统计数据!D:D,"COS")*1.06</f>
        <v>0</v>
      </c>
      <c r="J156" s="6">
        <f>SUMIFS(周检修业务统计数据!E:E,周检修业务统计数据!B:B,B156,周检修业务统计数据!C:C,"干箱",周检修业务统计数据!D:D,"&lt;&gt;COS")</f>
        <v>0</v>
      </c>
      <c r="K156" s="6">
        <f>J156-'2025年18周'!J156</f>
        <v>0</v>
      </c>
      <c r="L156" s="75">
        <f>(SUMIFS(周检修业务统计数据!I:I,周检修业务统计数据!B:B,B156,周检修业务统计数据!C:C,"干箱",周检修业务统计数据!D:D,"&lt;&gt;COS")+SUMIFS(周检修业务统计数据!J:J,周检修业务统计数据!B:B,B156,周检修业务统计数据!C:C,"干箱",周检修业务统计数据!D:D,"&lt;&gt;COS"))*1.13++SUMIFS(周检修业务统计数据!L:L,周检修业务统计数据!B:B,B156,周检修业务统计数据!C:C,"干箱",周检修业务统计数据!D:D,"&lt;&gt;COS")*1.06</f>
        <v>0</v>
      </c>
      <c r="M156" s="76" t="e">
        <f>(L156-'2025年18周'!L156)/'2025年18周'!L156</f>
        <v>#DIV/0!</v>
      </c>
      <c r="N156" s="77" t="e">
        <f t="shared" si="28"/>
        <v>#DIV/0!</v>
      </c>
      <c r="O156" s="76" t="e">
        <f>(N156-'2025年18周'!N156)/'2025年18周'!N156</f>
        <v>#DIV/0!</v>
      </c>
      <c r="P156" s="78">
        <f>(SUMIFS(周检修业务统计数据!I:I,周检修业务统计数据!B:B,B156,周检修业务统计数据!C:C,"&lt;&gt;干箱")+SUMIFS(周检修业务统计数据!J:J,周检修业务统计数据!B:B,B156,周检修业务统计数据!C:C,"&lt;&gt;干箱"))*1.13++SUMIFS(周检修业务统计数据!L:L,周检修业务统计数据!B:B,B156,周检修业务统计数据!C:C,"&lt;&gt;干箱")*1.06</f>
        <v>0</v>
      </c>
      <c r="Q156" s="3"/>
      <c r="R156" s="3"/>
      <c r="S156" s="3">
        <f t="shared" si="34"/>
        <v>0</v>
      </c>
      <c r="T156" s="238">
        <f t="shared" si="30"/>
        <v>0</v>
      </c>
      <c r="U156" s="77">
        <f t="shared" si="31"/>
        <v>0</v>
      </c>
      <c r="V156" s="77" t="e">
        <f t="shared" si="32"/>
        <v>#DIV/0!</v>
      </c>
      <c r="W156" s="6"/>
      <c r="X156" s="146"/>
      <c r="Y156" s="130"/>
      <c r="Z156" s="3"/>
      <c r="AA156" s="3"/>
      <c r="AB156" s="3"/>
      <c r="AC156" s="4" t="s">
        <v>234</v>
      </c>
    </row>
    <row r="157" spans="1:29">
      <c r="A157" s="240" t="s">
        <v>68</v>
      </c>
      <c r="B157" s="6" t="s">
        <v>138</v>
      </c>
      <c r="C157" s="6">
        <f>SUMIFS(周检修业务统计数据!E:E,周检修业务统计数据!B:B,B157,周检修业务统计数据!C:C,"干箱",周检修业务统计数据!D:D,"COS")</f>
        <v>18</v>
      </c>
      <c r="D157" s="6">
        <f>C157-'2025年18周'!C157</f>
        <v>-19</v>
      </c>
      <c r="E157" s="75">
        <f>(SUMIFS(周检修业务统计数据!I:I,周检修业务统计数据!B:B,B157,周检修业务统计数据!C:C,"干箱",周检修业务统计数据!D:D,"COS")+SUMIFS(周检修业务统计数据!J:J,周检修业务统计数据!B:B,B157,周检修业务统计数据!C:C,"干箱",周检修业务统计数据!D:D,"COS"))*1.13</f>
        <v>6953.94</v>
      </c>
      <c r="F157" s="76">
        <f>(E157-'2025年18周'!E157)/'2025年18周'!E157</f>
        <v>-0.4839</v>
      </c>
      <c r="G157" s="77">
        <f t="shared" si="27"/>
        <v>386</v>
      </c>
      <c r="H157" s="76">
        <f>(G157-'2025年18周'!G157)/'2025年18周'!G157</f>
        <v>0.0604</v>
      </c>
      <c r="I157" s="6">
        <f>SUMIFS(周检修业务统计数据!L:L,周检修业务统计数据!B:B,B157,周检修业务统计数据!C:C,"干箱",周检修业务统计数据!D:D,"COS")*1.06</f>
        <v>990.0612</v>
      </c>
      <c r="J157" s="6">
        <f>SUMIFS(周检修业务统计数据!E:E,周检修业务统计数据!B:B,B157,周检修业务统计数据!C:C,"干箱",周检修业务统计数据!D:D,"&lt;&gt;COS")</f>
        <v>0</v>
      </c>
      <c r="K157" s="6">
        <f>J157-'2025年18周'!J157</f>
        <v>0</v>
      </c>
      <c r="L157" s="75">
        <f>(SUMIFS(周检修业务统计数据!I:I,周检修业务统计数据!B:B,B157,周检修业务统计数据!C:C,"干箱",周检修业务统计数据!D:D,"&lt;&gt;COS")+SUMIFS(周检修业务统计数据!J:J,周检修业务统计数据!B:B,B157,周检修业务统计数据!C:C,"干箱",周检修业务统计数据!D:D,"&lt;&gt;COS"))*1.13++SUMIFS(周检修业务统计数据!L:L,周检修业务统计数据!B:B,B157,周检修业务统计数据!C:C,"干箱",周检修业务统计数据!D:D,"&lt;&gt;COS")*1.06</f>
        <v>0</v>
      </c>
      <c r="M157" s="76" t="e">
        <f>(L157-'2025年18周'!L157)/'2025年18周'!L157</f>
        <v>#DIV/0!</v>
      </c>
      <c r="N157" s="77" t="e">
        <f t="shared" si="28"/>
        <v>#DIV/0!</v>
      </c>
      <c r="O157" s="76" t="e">
        <f>(N157-'2025年18周'!N157)/'2025年18周'!N157</f>
        <v>#DIV/0!</v>
      </c>
      <c r="P157" s="78">
        <f>(SUMIFS(周检修业务统计数据!I:I,周检修业务统计数据!B:B,B157,周检修业务统计数据!C:C,"&lt;&gt;干箱")+SUMIFS(周检修业务统计数据!J:J,周检修业务统计数据!B:B,B157,周检修业务统计数据!C:C,"&lt;&gt;干箱"))*1.13++SUMIFS(周检修业务统计数据!L:L,周检修业务统计数据!B:B,B157,周检修业务统计数据!C:C,"&lt;&gt;干箱")*1.06</f>
        <v>0</v>
      </c>
      <c r="Q157" s="3"/>
      <c r="R157" s="3"/>
      <c r="S157" s="3">
        <f t="shared" si="34"/>
        <v>0</v>
      </c>
      <c r="T157" s="238">
        <f t="shared" si="30"/>
        <v>18</v>
      </c>
      <c r="U157" s="77">
        <f t="shared" si="31"/>
        <v>7944</v>
      </c>
      <c r="V157" s="77" t="e">
        <f t="shared" si="32"/>
        <v>#DIV/0!</v>
      </c>
      <c r="W157" s="6"/>
      <c r="X157" s="146"/>
      <c r="Y157" s="130"/>
      <c r="Z157" s="3"/>
      <c r="AA157" s="3"/>
      <c r="AB157" s="3"/>
      <c r="AC157" s="4" t="s">
        <v>235</v>
      </c>
    </row>
    <row r="158" spans="1:29">
      <c r="A158" s="240" t="s">
        <v>68</v>
      </c>
      <c r="B158" s="6" t="s">
        <v>139</v>
      </c>
      <c r="C158" s="6">
        <f>SUMIFS(周检修业务统计数据!E:E,周检修业务统计数据!B:B,B158,周检修业务统计数据!C:C,"干箱",周检修业务统计数据!D:D,"COS")</f>
        <v>107</v>
      </c>
      <c r="D158" s="6">
        <f>C158-'2025年18周'!C158</f>
        <v>-41</v>
      </c>
      <c r="E158" s="75">
        <f>(SUMIFS(周检修业务统计数据!I:I,周检修业务统计数据!B:B,B158,周检修业务统计数据!C:C,"干箱",周检修业务统计数据!D:D,"COS")+SUMIFS(周检修业务统计数据!J:J,周检修业务统计数据!B:B,B158,周检修业务统计数据!C:C,"干箱",周检修业务统计数据!D:D,"COS"))*1.13</f>
        <v>33939.46</v>
      </c>
      <c r="F158" s="76">
        <f>(E158-'2025年18周'!E158)/'2025年18周'!E158</f>
        <v>-0.3702</v>
      </c>
      <c r="G158" s="77">
        <f t="shared" si="27"/>
        <v>317</v>
      </c>
      <c r="H158" s="76">
        <f>(G158-'2025年18周'!G158)/'2025年18周'!G158</f>
        <v>-0.1291</v>
      </c>
      <c r="I158" s="6">
        <f>SUMIFS(周检修业务统计数据!L:L,周检修业务统计数据!B:B,B158,周检修业务统计数据!C:C,"干箱",周检修业务统计数据!D:D,"COS")*1.06</f>
        <v>5885.3638</v>
      </c>
      <c r="J158" s="6">
        <f>SUMIFS(周检修业务统计数据!E:E,周检修业务统计数据!B:B,B158,周检修业务统计数据!C:C,"干箱",周检修业务统计数据!D:D,"&lt;&gt;COS")</f>
        <v>0</v>
      </c>
      <c r="K158" s="6">
        <f>J158-'2025年18周'!J158</f>
        <v>0</v>
      </c>
      <c r="L158" s="75">
        <f>(SUMIFS(周检修业务统计数据!I:I,周检修业务统计数据!B:B,B158,周检修业务统计数据!C:C,"干箱",周检修业务统计数据!D:D,"&lt;&gt;COS")+SUMIFS(周检修业务统计数据!J:J,周检修业务统计数据!B:B,B158,周检修业务统计数据!C:C,"干箱",周检修业务统计数据!D:D,"&lt;&gt;COS"))*1.13++SUMIFS(周检修业务统计数据!L:L,周检修业务统计数据!B:B,B158,周检修业务统计数据!C:C,"干箱",周检修业务统计数据!D:D,"&lt;&gt;COS")*1.06</f>
        <v>0</v>
      </c>
      <c r="M158" s="76" t="e">
        <f>(L158-'2025年18周'!L158)/'2025年18周'!L158</f>
        <v>#DIV/0!</v>
      </c>
      <c r="N158" s="77" t="e">
        <f t="shared" si="28"/>
        <v>#DIV/0!</v>
      </c>
      <c r="O158" s="76" t="e">
        <f>(N158-'2025年18周'!N158)/'2025年18周'!N158</f>
        <v>#DIV/0!</v>
      </c>
      <c r="P158" s="78">
        <f>(SUMIFS(周检修业务统计数据!I:I,周检修业务统计数据!B:B,B158,周检修业务统计数据!C:C,"&lt;&gt;干箱")+SUMIFS(周检修业务统计数据!J:J,周检修业务统计数据!B:B,B158,周检修业务统计数据!C:C,"&lt;&gt;干箱"))*1.13++SUMIFS(周检修业务统计数据!L:L,周检修业务统计数据!B:B,B158,周检修业务统计数据!C:C,"&lt;&gt;干箱")*1.06</f>
        <v>0</v>
      </c>
      <c r="Q158" s="3"/>
      <c r="R158" s="3"/>
      <c r="S158" s="3">
        <f t="shared" si="34"/>
        <v>0</v>
      </c>
      <c r="T158" s="238">
        <f t="shared" si="30"/>
        <v>107</v>
      </c>
      <c r="U158" s="77">
        <f t="shared" si="31"/>
        <v>39825</v>
      </c>
      <c r="V158" s="77" t="e">
        <f t="shared" si="32"/>
        <v>#DIV/0!</v>
      </c>
      <c r="W158" s="6"/>
      <c r="X158" s="146"/>
      <c r="Y158" s="130"/>
      <c r="Z158" s="3"/>
      <c r="AA158" s="3"/>
      <c r="AB158" s="3"/>
      <c r="AC158" s="4"/>
    </row>
    <row r="159" spans="1:29">
      <c r="A159" s="240" t="s">
        <v>68</v>
      </c>
      <c r="B159" s="6" t="s">
        <v>140</v>
      </c>
      <c r="C159" s="6">
        <f>SUMIFS(周检修业务统计数据!E:E,周检修业务统计数据!B:B,B159,周检修业务统计数据!C:C,"干箱",周检修业务统计数据!D:D,"COS")</f>
        <v>17</v>
      </c>
      <c r="D159" s="6">
        <f>C159-'2025年18周'!C159</f>
        <v>-14</v>
      </c>
      <c r="E159" s="75">
        <f>(SUMIFS(周检修业务统计数据!I:I,周检修业务统计数据!B:B,B159,周检修业务统计数据!C:C,"干箱",周检修业务统计数据!D:D,"COS")+SUMIFS(周检修业务统计数据!J:J,周检修业务统计数据!B:B,B159,周检修业务统计数据!C:C,"干箱",周检修业务统计数据!D:D,"COS"))*1.13</f>
        <v>5753.17</v>
      </c>
      <c r="F159" s="76">
        <f>(E159-'2025年18周'!E159)/'2025年18周'!E159</f>
        <v>-0.5912</v>
      </c>
      <c r="G159" s="77">
        <f t="shared" si="27"/>
        <v>338</v>
      </c>
      <c r="H159" s="76">
        <f>(G159-'2025年18周'!G159)/'2025年18周'!G159</f>
        <v>-0.2555</v>
      </c>
      <c r="I159" s="6">
        <f>SUMIFS(周检修业务统计数据!L:L,周检修业务统计数据!B:B,B159,周检修业务统计数据!C:C,"干箱",周检修业务统计数据!D:D,"COS")*1.06</f>
        <v>935.0578</v>
      </c>
      <c r="J159" s="6">
        <f>SUMIFS(周检修业务统计数据!E:E,周检修业务统计数据!B:B,B159,周检修业务统计数据!C:C,"干箱",周检修业务统计数据!D:D,"&lt;&gt;COS")</f>
        <v>0</v>
      </c>
      <c r="K159" s="6">
        <f>J159-'2025年18周'!J159</f>
        <v>0</v>
      </c>
      <c r="L159" s="75">
        <f>(SUMIFS(周检修业务统计数据!I:I,周检修业务统计数据!B:B,B159,周检修业务统计数据!C:C,"干箱",周检修业务统计数据!D:D,"&lt;&gt;COS")+SUMIFS(周检修业务统计数据!J:J,周检修业务统计数据!B:B,B159,周检修业务统计数据!C:C,"干箱",周检修业务统计数据!D:D,"&lt;&gt;COS"))*1.13++SUMIFS(周检修业务统计数据!L:L,周检修业务统计数据!B:B,B159,周检修业务统计数据!C:C,"干箱",周检修业务统计数据!D:D,"&lt;&gt;COS")*1.06</f>
        <v>0</v>
      </c>
      <c r="M159" s="76" t="e">
        <f>(L159-'2025年18周'!L159)/'2025年18周'!L159</f>
        <v>#DIV/0!</v>
      </c>
      <c r="N159" s="77" t="e">
        <f t="shared" si="28"/>
        <v>#DIV/0!</v>
      </c>
      <c r="O159" s="76" t="e">
        <f>(N159-'2025年18周'!N159)/'2025年18周'!N159</f>
        <v>#DIV/0!</v>
      </c>
      <c r="P159" s="78">
        <f>(SUMIFS(周检修业务统计数据!I:I,周检修业务统计数据!B:B,B159,周检修业务统计数据!C:C,"&lt;&gt;干箱")+SUMIFS(周检修业务统计数据!J:J,周检修业务统计数据!B:B,B159,周检修业务统计数据!C:C,"&lt;&gt;干箱"))*1.13++SUMIFS(周检修业务统计数据!L:L,周检修业务统计数据!B:B,B159,周检修业务统计数据!C:C,"&lt;&gt;干箱")*1.06</f>
        <v>0</v>
      </c>
      <c r="Q159" s="3"/>
      <c r="R159" s="3"/>
      <c r="S159" s="3">
        <f t="shared" si="34"/>
        <v>0</v>
      </c>
      <c r="T159" s="238">
        <f t="shared" si="30"/>
        <v>17</v>
      </c>
      <c r="U159" s="77">
        <f t="shared" si="31"/>
        <v>6688</v>
      </c>
      <c r="V159" s="77" t="e">
        <v>#DIV/0!</v>
      </c>
      <c r="W159" s="6"/>
      <c r="X159" s="146"/>
      <c r="Y159" s="130"/>
      <c r="Z159" s="3"/>
      <c r="AA159" s="3"/>
      <c r="AB159" s="3"/>
      <c r="AC159" s="4"/>
    </row>
    <row r="160" spans="1:29">
      <c r="A160" s="241" t="s">
        <v>141</v>
      </c>
      <c r="B160" s="12" t="s">
        <v>142</v>
      </c>
      <c r="C160" s="12">
        <f>SUMIFS(周检修业务统计数据!E:E,周检修业务统计数据!B:B,B160,周检修业务统计数据!C:C,"干箱",周检修业务统计数据!D:D,"COS")</f>
        <v>0</v>
      </c>
      <c r="D160" s="12">
        <f>C160-'2025年18周'!C160</f>
        <v>-5</v>
      </c>
      <c r="E160" s="85">
        <f>(SUMIFS(周检修业务统计数据!I:I,周检修业务统计数据!B:B,B160,周检修业务统计数据!C:C,"干箱",周检修业务统计数据!D:D,"COS")+SUMIFS(周检修业务统计数据!J:J,周检修业务统计数据!B:B,B160,周检修业务统计数据!C:C,"干箱",周检修业务统计数据!D:D,"COS"))*1.13</f>
        <v>0</v>
      </c>
      <c r="F160" s="86">
        <f>(E160-'2025年18周'!E160)/'2025年18周'!E160</f>
        <v>-1</v>
      </c>
      <c r="G160" s="87" t="e">
        <f t="shared" ref="G160:G182" si="35">E160/C160</f>
        <v>#DIV/0!</v>
      </c>
      <c r="H160" s="86" t="e">
        <f>(G160-'2025年18周'!G160)/'2025年18周'!G160</f>
        <v>#DIV/0!</v>
      </c>
      <c r="I160" s="12">
        <f>SUMIFS(周检修业务统计数据!L:L,周检修业务统计数据!B:B,B160,周检修业务统计数据!C:C,"干箱",周检修业务统计数据!D:D,"COS")*1.06</f>
        <v>0</v>
      </c>
      <c r="J160" s="12">
        <f>SUMIFS(周检修业务统计数据!E:E,周检修业务统计数据!B:B,B160,周检修业务统计数据!C:C,"干箱",周检修业务统计数据!D:D,"&lt;&gt;COS")</f>
        <v>0</v>
      </c>
      <c r="K160" s="12">
        <f>J160-'2025年18周'!J160</f>
        <v>0</v>
      </c>
      <c r="L160" s="85">
        <f>(SUMIFS(周检修业务统计数据!I:I,周检修业务统计数据!B:B,B160,周检修业务统计数据!C:C,"干箱",周检修业务统计数据!D:D,"&lt;&gt;COS")+SUMIFS(周检修业务统计数据!J:J,周检修业务统计数据!B:B,B160,周检修业务统计数据!C:C,"干箱",周检修业务统计数据!D:D,"&lt;&gt;COS"))*1.13++SUMIFS(周检修业务统计数据!L:L,周检修业务统计数据!B:B,B160,周检修业务统计数据!C:C,"干箱",周检修业务统计数据!D:D,"&lt;&gt;COS")*1.06</f>
        <v>0</v>
      </c>
      <c r="M160" s="86" t="e">
        <f>(L160-'2025年18周'!L160)/'2025年18周'!L160</f>
        <v>#DIV/0!</v>
      </c>
      <c r="N160" s="87" t="e">
        <f t="shared" ref="N160:N182" si="36">L160/J160</f>
        <v>#DIV/0!</v>
      </c>
      <c r="O160" s="86" t="e">
        <f>(N160-'2025年18周'!N160)/'2025年18周'!N160</f>
        <v>#DIV/0!</v>
      </c>
      <c r="P160" s="88">
        <f>(SUMIFS(周检修业务统计数据!I:I,周检修业务统计数据!B:B,B160,周检修业务统计数据!C:C,"&lt;&gt;干箱")+SUMIFS(周检修业务统计数据!J:J,周检修业务统计数据!B:B,B160,周检修业务统计数据!C:C,"&lt;&gt;干箱"))*1.13++SUMIFS(周检修业务统计数据!L:L,周检修业务统计数据!B:B,B160,周检修业务统计数据!C:C,"&lt;&gt;干箱")*1.06</f>
        <v>0</v>
      </c>
      <c r="Q160" s="53"/>
      <c r="R160" s="53"/>
      <c r="S160" s="53">
        <f t="shared" ref="S160:S180" si="37">S300</f>
        <v>0</v>
      </c>
      <c r="T160" s="12">
        <f t="shared" ref="T160:T182" si="38">C160+J160</f>
        <v>0</v>
      </c>
      <c r="U160" s="87">
        <f t="shared" ref="U160:U182" si="39">E160+L160+I160+P160+Q160+R160+S160</f>
        <v>0</v>
      </c>
      <c r="V160" s="87" t="e">
        <f t="shared" ref="V160:V182" si="40">U160/W160</f>
        <v>#DIV/0!</v>
      </c>
      <c r="W160" s="12"/>
      <c r="X160" s="144"/>
      <c r="Y160" s="130"/>
      <c r="Z160" s="53"/>
      <c r="AA160" s="53"/>
      <c r="AB160" s="53"/>
      <c r="AC160" s="237"/>
    </row>
    <row r="161" s="164" customFormat="1" spans="1:29">
      <c r="A161" s="239" t="s">
        <v>143</v>
      </c>
      <c r="B161" s="6" t="s">
        <v>144</v>
      </c>
      <c r="C161" s="6">
        <f>SUMIFS(周检修业务统计数据!E:E,周检修业务统计数据!B:B,B161,周检修业务统计数据!C:C,"干箱",周检修业务统计数据!D:D,"COS")</f>
        <v>158</v>
      </c>
      <c r="D161" s="6">
        <f>C161-'2025年18周'!C161</f>
        <v>-214</v>
      </c>
      <c r="E161" s="75">
        <f>(SUMIFS(周检修业务统计数据!I:I,周检修业务统计数据!B:B,B161,周检修业务统计数据!C:C,"干箱",周检修业务统计数据!D:D,"COS")+SUMIFS(周检修业务统计数据!J:J,周检修业务统计数据!B:B,B161,周检修业务统计数据!C:C,"干箱",周检修业务统计数据!D:D,"COS"))*1.13</f>
        <v>39505.83</v>
      </c>
      <c r="F161" s="76">
        <f>(E161-'2025年18周'!E161)/'2025年18周'!E161</f>
        <v>-0.4835</v>
      </c>
      <c r="G161" s="77">
        <f t="shared" si="35"/>
        <v>250</v>
      </c>
      <c r="H161" s="76">
        <f>(G161-'2025年18周'!G161)/'2025年18周'!G161</f>
        <v>0.2136</v>
      </c>
      <c r="I161" s="6">
        <f>SUMIFS(周检修业务统计数据!L:L,周检修业务统计数据!B:B,B161,周检修业务统计数据!C:C,"干箱",周检修业务统计数据!D:D,"COS")*1.06</f>
        <v>8750.512</v>
      </c>
      <c r="J161" s="6">
        <f>SUMIFS(周检修业务统计数据!E:E,周检修业务统计数据!B:B,B161,周检修业务统计数据!C:C,"干箱",周检修业务统计数据!D:D,"&lt;&gt;COS")</f>
        <v>0</v>
      </c>
      <c r="K161" s="6">
        <f>J161-'2025年18周'!J161</f>
        <v>0</v>
      </c>
      <c r="L161" s="75">
        <f>(SUMIFS(周检修业务统计数据!I:I,周检修业务统计数据!B:B,B161,周检修业务统计数据!C:C,"干箱",周检修业务统计数据!D:D,"&lt;&gt;COS")+SUMIFS(周检修业务统计数据!J:J,周检修业务统计数据!B:B,B161,周检修业务统计数据!C:C,"干箱",周检修业务统计数据!D:D,"&lt;&gt;COS"))*1.13++SUMIFS(周检修业务统计数据!L:L,周检修业务统计数据!B:B,B161,周检修业务统计数据!C:C,"干箱",周检修业务统计数据!D:D,"&lt;&gt;COS")*1.06</f>
        <v>0</v>
      </c>
      <c r="M161" s="76" t="e">
        <f>(L161-'2025年18周'!L161)/'2025年18周'!L161</f>
        <v>#DIV/0!</v>
      </c>
      <c r="N161" s="77" t="e">
        <f t="shared" si="36"/>
        <v>#DIV/0!</v>
      </c>
      <c r="O161" s="76" t="e">
        <f>(N161-'2025年18周'!N161)/'2025年18周'!N161</f>
        <v>#DIV/0!</v>
      </c>
      <c r="P161" s="78">
        <f>(SUMIFS(周检修业务统计数据!I:I,周检修业务统计数据!B:B,B161,周检修业务统计数据!C:C,"&lt;&gt;干箱")+SUMIFS(周检修业务统计数据!J:J,周检修业务统计数据!B:B,B161,周检修业务统计数据!C:C,"&lt;&gt;干箱"))*1.13++SUMIFS(周检修业务统计数据!L:L,周检修业务统计数据!B:B,B161,周检修业务统计数据!C:C,"&lt;&gt;干箱")*1.06</f>
        <v>0</v>
      </c>
      <c r="Q161" s="3"/>
      <c r="R161" s="3"/>
      <c r="S161" s="3">
        <f t="shared" si="37"/>
        <v>0</v>
      </c>
      <c r="T161" s="238">
        <f t="shared" si="38"/>
        <v>158</v>
      </c>
      <c r="U161" s="77">
        <f t="shared" si="39"/>
        <v>48256</v>
      </c>
      <c r="V161" s="77" t="e">
        <f t="shared" si="40"/>
        <v>#DIV/0!</v>
      </c>
      <c r="W161" s="6"/>
      <c r="X161" s="146"/>
      <c r="Y161" s="130"/>
      <c r="Z161" s="3"/>
      <c r="AA161" s="3"/>
      <c r="AB161" s="3"/>
      <c r="AC161" s="4"/>
    </row>
    <row r="162" s="164" customFormat="1" spans="1:29">
      <c r="A162" s="242" t="s">
        <v>143</v>
      </c>
      <c r="B162" s="6" t="s">
        <v>145</v>
      </c>
      <c r="C162" s="6">
        <f>SUMIFS(周检修业务统计数据!E:E,周检修业务统计数据!B:B,B162,周检修业务统计数据!C:C,"干箱",周检修业务统计数据!D:D,"COS")</f>
        <v>213</v>
      </c>
      <c r="D162" s="6">
        <f>C162-'2025年18周'!C162</f>
        <v>3</v>
      </c>
      <c r="E162" s="75">
        <f>(SUMIFS(周检修业务统计数据!I:I,周检修业务统计数据!B:B,B162,周检修业务统计数据!C:C,"干箱",周检修业务统计数据!D:D,"COS")+SUMIFS(周检修业务统计数据!J:J,周检修业务统计数据!B:B,B162,周检修业务统计数据!C:C,"干箱",周检修业务统计数据!D:D,"COS"))*1.13</f>
        <v>28780.55</v>
      </c>
      <c r="F162" s="76">
        <f>(E162-'2025年18周'!E162)/'2025年18周'!E162</f>
        <v>-0.0091</v>
      </c>
      <c r="G162" s="77">
        <f t="shared" si="35"/>
        <v>135</v>
      </c>
      <c r="H162" s="76">
        <f>(G162-'2025年18周'!G162)/'2025年18周'!G162</f>
        <v>-0.0217</v>
      </c>
      <c r="I162" s="6">
        <f>SUMIFS(周检修业务统计数据!L:L,周检修业务统计数据!B:B,B162,周检修业务统计数据!C:C,"干箱",周检修业务统计数据!D:D,"COS")*1.06</f>
        <v>11715.7242</v>
      </c>
      <c r="J162" s="6">
        <f>SUMIFS(周检修业务统计数据!E:E,周检修业务统计数据!B:B,B162,周检修业务统计数据!C:C,"干箱",周检修业务统计数据!D:D,"&lt;&gt;COS")</f>
        <v>0</v>
      </c>
      <c r="K162" s="6">
        <f>J162-'2025年18周'!J162</f>
        <v>0</v>
      </c>
      <c r="L162" s="75">
        <f>(SUMIFS(周检修业务统计数据!I:I,周检修业务统计数据!B:B,B162,周检修业务统计数据!C:C,"干箱",周检修业务统计数据!D:D,"&lt;&gt;COS")+SUMIFS(周检修业务统计数据!J:J,周检修业务统计数据!B:B,B162,周检修业务统计数据!C:C,"干箱",周检修业务统计数据!D:D,"&lt;&gt;COS"))*1.13++SUMIFS(周检修业务统计数据!L:L,周检修业务统计数据!B:B,B162,周检修业务统计数据!C:C,"干箱",周检修业务统计数据!D:D,"&lt;&gt;COS")*1.06</f>
        <v>0</v>
      </c>
      <c r="M162" s="76" t="e">
        <f>(L162-'2025年18周'!L162)/'2025年18周'!L162</f>
        <v>#DIV/0!</v>
      </c>
      <c r="N162" s="77" t="e">
        <f t="shared" si="36"/>
        <v>#DIV/0!</v>
      </c>
      <c r="O162" s="76" t="e">
        <f>(N162-'2025年18周'!N162)/'2025年18周'!N162</f>
        <v>#DIV/0!</v>
      </c>
      <c r="P162" s="78">
        <f>(SUMIFS(周检修业务统计数据!I:I,周检修业务统计数据!B:B,B162,周检修业务统计数据!C:C,"&lt;&gt;干箱")+SUMIFS(周检修业务统计数据!J:J,周检修业务统计数据!B:B,B162,周检修业务统计数据!C:C,"&lt;&gt;干箱"))*1.13++SUMIFS(周检修业务统计数据!L:L,周检修业务统计数据!B:B,B162,周检修业务统计数据!C:C,"&lt;&gt;干箱")*1.06</f>
        <v>0</v>
      </c>
      <c r="Q162" s="3"/>
      <c r="R162" s="3"/>
      <c r="S162" s="3">
        <f t="shared" si="37"/>
        <v>0</v>
      </c>
      <c r="T162" s="238">
        <f t="shared" si="38"/>
        <v>213</v>
      </c>
      <c r="U162" s="77">
        <f t="shared" si="39"/>
        <v>40496</v>
      </c>
      <c r="V162" s="77" t="e">
        <f t="shared" si="40"/>
        <v>#DIV/0!</v>
      </c>
      <c r="W162" s="6"/>
      <c r="X162" s="146"/>
      <c r="Y162" s="130"/>
      <c r="Z162" s="3"/>
      <c r="AA162" s="3"/>
      <c r="AB162" s="3"/>
      <c r="AC162" s="4"/>
    </row>
    <row r="163" s="164" customFormat="1" spans="1:29">
      <c r="A163" s="242" t="s">
        <v>143</v>
      </c>
      <c r="B163" s="6" t="s">
        <v>146</v>
      </c>
      <c r="C163" s="6">
        <f>SUMIFS(周检修业务统计数据!E:E,周检修业务统计数据!B:B,B163,周检修业务统计数据!C:C,"干箱",周检修业务统计数据!D:D,"COS")</f>
        <v>7</v>
      </c>
      <c r="D163" s="6">
        <f>C163-'2025年18周'!C163</f>
        <v>-60</v>
      </c>
      <c r="E163" s="75">
        <f>(SUMIFS(周检修业务统计数据!I:I,周检修业务统计数据!B:B,B163,周检修业务统计数据!C:C,"干箱",周检修业务统计数据!D:D,"COS")+SUMIFS(周检修业务统计数据!J:J,周检修业务统计数据!B:B,B163,周检修业务统计数据!C:C,"干箱",周检修业务统计数据!D:D,"COS"))*1.13</f>
        <v>1544.95</v>
      </c>
      <c r="F163" s="76">
        <f>(E163-'2025年18周'!E163)/'2025年18周'!E163</f>
        <v>-0.8728</v>
      </c>
      <c r="G163" s="77">
        <f t="shared" si="35"/>
        <v>221</v>
      </c>
      <c r="H163" s="76">
        <f>(G163-'2025年18周'!G163)/'2025年18周'!G163</f>
        <v>0.221</v>
      </c>
      <c r="I163" s="6">
        <f>SUMIFS(周检修业务统计数据!L:L,周检修业务统计数据!B:B,B163,周检修业务统计数据!C:C,"干箱",周检修业务统计数据!D:D,"COS")*1.06</f>
        <v>524.965</v>
      </c>
      <c r="J163" s="6">
        <f>SUMIFS(周检修业务统计数据!E:E,周检修业务统计数据!B:B,B163,周检修业务统计数据!C:C,"干箱",周检修业务统计数据!D:D,"&lt;&gt;COS")</f>
        <v>10</v>
      </c>
      <c r="K163" s="6">
        <f>J163-'2025年18周'!J163</f>
        <v>-1</v>
      </c>
      <c r="L163" s="75">
        <f>(SUMIFS(周检修业务统计数据!I:I,周检修业务统计数据!B:B,B163,周检修业务统计数据!C:C,"干箱",周检修业务统计数据!D:D,"&lt;&gt;COS")+SUMIFS(周检修业务统计数据!J:J,周检修业务统计数据!B:B,B163,周检修业务统计数据!C:C,"干箱",周检修业务统计数据!D:D,"&lt;&gt;COS"))*1.13++SUMIFS(周检修业务统计数据!L:L,周检修业务统计数据!B:B,B163,周检修业务统计数据!C:C,"干箱",周检修业务统计数据!D:D,"&lt;&gt;COS")*1.06</f>
        <v>3100.32</v>
      </c>
      <c r="M163" s="76">
        <f>(L163-'2025年18周'!L163)/'2025年18周'!L163</f>
        <v>-0.1076</v>
      </c>
      <c r="N163" s="77">
        <f t="shared" si="36"/>
        <v>310</v>
      </c>
      <c r="O163" s="76">
        <f>(N163-'2025年18周'!N163)/'2025年18周'!N163</f>
        <v>-0.019</v>
      </c>
      <c r="P163" s="78">
        <f>(SUMIFS(周检修业务统计数据!I:I,周检修业务统计数据!B:B,B163,周检修业务统计数据!C:C,"&lt;&gt;干箱")+SUMIFS(周检修业务统计数据!J:J,周检修业务统计数据!B:B,B163,周检修业务统计数据!C:C,"&lt;&gt;干箱"))*1.13++SUMIFS(周检修业务统计数据!L:L,周检修业务统计数据!B:B,B163,周检修业务统计数据!C:C,"&lt;&gt;干箱")*1.06</f>
        <v>0</v>
      </c>
      <c r="Q163" s="3"/>
      <c r="R163" s="3"/>
      <c r="S163" s="3">
        <f t="shared" si="37"/>
        <v>0</v>
      </c>
      <c r="T163" s="238">
        <f t="shared" si="38"/>
        <v>17</v>
      </c>
      <c r="U163" s="77">
        <f t="shared" si="39"/>
        <v>5170</v>
      </c>
      <c r="V163" s="77" t="e">
        <f t="shared" si="40"/>
        <v>#DIV/0!</v>
      </c>
      <c r="W163" s="6"/>
      <c r="X163" s="146"/>
      <c r="Y163" s="130"/>
      <c r="Z163" s="3"/>
      <c r="AA163" s="3"/>
      <c r="AB163" s="3"/>
      <c r="AC163" s="4"/>
    </row>
    <row r="164" s="164" customFormat="1" spans="1:29">
      <c r="A164" s="242" t="s">
        <v>147</v>
      </c>
      <c r="B164" s="6" t="s">
        <v>148</v>
      </c>
      <c r="C164" s="6">
        <f>SUMIFS(周检修业务统计数据!E:E,周检修业务统计数据!B:B,B164,周检修业务统计数据!C:C,"干箱",周检修业务统计数据!D:D,"COS")</f>
        <v>213</v>
      </c>
      <c r="D164" s="6">
        <f>C164-'2025年18周'!C164</f>
        <v>42</v>
      </c>
      <c r="E164" s="75">
        <f>(SUMIFS(周检修业务统计数据!I:I,周检修业务统计数据!B:B,B164,周检修业务统计数据!C:C,"干箱",周检修业务统计数据!D:D,"COS")+SUMIFS(周检修业务统计数据!J:J,周检修业务统计数据!B:B,B164,周检修业务统计数据!C:C,"干箱",周检修业务统计数据!D:D,"COS"))*1.13</f>
        <v>52050.78</v>
      </c>
      <c r="F164" s="76">
        <f>(E164-'2025年18周'!E164)/'2025年18周'!E164</f>
        <v>0.4754</v>
      </c>
      <c r="G164" s="77">
        <f t="shared" si="35"/>
        <v>244</v>
      </c>
      <c r="H164" s="76">
        <f>(G164-'2025年18周'!G164)/'2025年18周'!G164</f>
        <v>0.1845</v>
      </c>
      <c r="I164" s="6">
        <f>SUMIFS(周检修业务统计数据!L:L,周检修业务统计数据!B:B,B164,周检修业务统计数据!C:C,"干箱",周检修业务统计数据!D:D,"COS")*1.06</f>
        <v>11715.7242</v>
      </c>
      <c r="J164" s="6">
        <f>SUMIFS(周检修业务统计数据!E:E,周检修业务统计数据!B:B,B164,周检修业务统计数据!C:C,"干箱",周检修业务统计数据!D:D,"&lt;&gt;COS")</f>
        <v>0</v>
      </c>
      <c r="K164" s="6">
        <f>J164-'2025年18周'!J164</f>
        <v>0</v>
      </c>
      <c r="L164" s="75">
        <f>(SUMIFS(周检修业务统计数据!I:I,周检修业务统计数据!B:B,B164,周检修业务统计数据!C:C,"干箱",周检修业务统计数据!D:D,"&lt;&gt;COS")+SUMIFS(周检修业务统计数据!J:J,周检修业务统计数据!B:B,B164,周检修业务统计数据!C:C,"干箱",周检修业务统计数据!D:D,"&lt;&gt;COS"))*1.13++SUMIFS(周检修业务统计数据!L:L,周检修业务统计数据!B:B,B164,周检修业务统计数据!C:C,"干箱",周检修业务统计数据!D:D,"&lt;&gt;COS")*1.06</f>
        <v>0</v>
      </c>
      <c r="M164" s="76" t="e">
        <f>(L164-'2025年18周'!L164)/'2025年18周'!L164</f>
        <v>#DIV/0!</v>
      </c>
      <c r="N164" s="77" t="e">
        <f t="shared" si="36"/>
        <v>#DIV/0!</v>
      </c>
      <c r="O164" s="76" t="e">
        <f>(N164-'2025年18周'!N164)/'2025年18周'!N164</f>
        <v>#DIV/0!</v>
      </c>
      <c r="P164" s="78">
        <f>(SUMIFS(周检修业务统计数据!I:I,周检修业务统计数据!B:B,B164,周检修业务统计数据!C:C,"&lt;&gt;干箱")+SUMIFS(周检修业务统计数据!J:J,周检修业务统计数据!B:B,B164,周检修业务统计数据!C:C,"&lt;&gt;干箱"))*1.13++SUMIFS(周检修业务统计数据!L:L,周检修业务统计数据!B:B,B164,周检修业务统计数据!C:C,"&lt;&gt;干箱")*1.06</f>
        <v>0</v>
      </c>
      <c r="Q164" s="3"/>
      <c r="R164" s="3"/>
      <c r="S164" s="3">
        <f t="shared" si="37"/>
        <v>0</v>
      </c>
      <c r="T164" s="238">
        <f t="shared" si="38"/>
        <v>213</v>
      </c>
      <c r="U164" s="77">
        <f t="shared" si="39"/>
        <v>63767</v>
      </c>
      <c r="V164" s="77" t="e">
        <f t="shared" si="40"/>
        <v>#DIV/0!</v>
      </c>
      <c r="W164" s="6"/>
      <c r="X164" s="146"/>
      <c r="Y164" s="130"/>
      <c r="Z164" s="3"/>
      <c r="AA164" s="3"/>
      <c r="AB164" s="3"/>
      <c r="AC164" s="4" t="s">
        <v>236</v>
      </c>
    </row>
    <row r="165" s="164" customFormat="1" spans="1:29">
      <c r="A165" s="242" t="s">
        <v>143</v>
      </c>
      <c r="B165" s="6" t="s">
        <v>149</v>
      </c>
      <c r="C165" s="6">
        <f>SUMIFS(周检修业务统计数据!E:E,周检修业务统计数据!B:B,B165,周检修业务统计数据!C:C,"干箱",周检修业务统计数据!D:D,"COS")</f>
        <v>0</v>
      </c>
      <c r="D165" s="6">
        <f>C165-'2025年18周'!C165</f>
        <v>0</v>
      </c>
      <c r="E165" s="75">
        <f>(SUMIFS(周检修业务统计数据!I:I,周检修业务统计数据!B:B,B165,周检修业务统计数据!C:C,"干箱",周检修业务统计数据!D:D,"COS")+SUMIFS(周检修业务统计数据!J:J,周检修业务统计数据!B:B,B165,周检修业务统计数据!C:C,"干箱",周检修业务统计数据!D:D,"COS"))*1.13</f>
        <v>0</v>
      </c>
      <c r="F165" s="76" t="e">
        <f>(E165-'2025年18周'!E165)/'2025年18周'!E165</f>
        <v>#DIV/0!</v>
      </c>
      <c r="G165" s="77" t="e">
        <f t="shared" si="35"/>
        <v>#DIV/0!</v>
      </c>
      <c r="H165" s="76" t="e">
        <f>(G165-'2025年18周'!G165)/'2025年18周'!G165</f>
        <v>#DIV/0!</v>
      </c>
      <c r="I165" s="6">
        <f>SUMIFS(周检修业务统计数据!L:L,周检修业务统计数据!B:B,B165,周检修业务统计数据!C:C,"干箱",周检修业务统计数据!D:D,"COS")*1.06</f>
        <v>0</v>
      </c>
      <c r="J165" s="6">
        <f>SUMIFS(周检修业务统计数据!E:E,周检修业务统计数据!B:B,B165,周检修业务统计数据!C:C,"干箱",周检修业务统计数据!D:D,"&lt;&gt;COS")</f>
        <v>0</v>
      </c>
      <c r="K165" s="6">
        <f>J165-'2025年18周'!J165</f>
        <v>0</v>
      </c>
      <c r="L165" s="75">
        <f>(SUMIFS(周检修业务统计数据!I:I,周检修业务统计数据!B:B,B165,周检修业务统计数据!C:C,"干箱",周检修业务统计数据!D:D,"&lt;&gt;COS")+SUMIFS(周检修业务统计数据!J:J,周检修业务统计数据!B:B,B165,周检修业务统计数据!C:C,"干箱",周检修业务统计数据!D:D,"&lt;&gt;COS"))*1.13++SUMIFS(周检修业务统计数据!L:L,周检修业务统计数据!B:B,B165,周检修业务统计数据!C:C,"干箱",周检修业务统计数据!D:D,"&lt;&gt;COS")*1.06</f>
        <v>0</v>
      </c>
      <c r="M165" s="76" t="e">
        <f>(L165-'2025年18周'!L165)/'2025年18周'!L165</f>
        <v>#DIV/0!</v>
      </c>
      <c r="N165" s="77" t="e">
        <f t="shared" si="36"/>
        <v>#DIV/0!</v>
      </c>
      <c r="O165" s="76" t="e">
        <f>(N165-'2025年18周'!N165)/'2025年18周'!N165</f>
        <v>#DIV/0!</v>
      </c>
      <c r="P165" s="78">
        <f>(SUMIFS(周检修业务统计数据!I:I,周检修业务统计数据!B:B,B165,周检修业务统计数据!C:C,"&lt;&gt;干箱")+SUMIFS(周检修业务统计数据!J:J,周检修业务统计数据!B:B,B165,周检修业务统计数据!C:C,"&lt;&gt;干箱"))*1.13++SUMIFS(周检修业务统计数据!L:L,周检修业务统计数据!B:B,B165,周检修业务统计数据!C:C,"&lt;&gt;干箱")*1.06</f>
        <v>0</v>
      </c>
      <c r="Q165" s="3"/>
      <c r="R165" s="3"/>
      <c r="S165" s="3">
        <f t="shared" si="37"/>
        <v>0</v>
      </c>
      <c r="T165" s="238">
        <f t="shared" si="38"/>
        <v>0</v>
      </c>
      <c r="U165" s="77">
        <f t="shared" si="39"/>
        <v>0</v>
      </c>
      <c r="V165" s="77" t="e">
        <f t="shared" si="40"/>
        <v>#DIV/0!</v>
      </c>
      <c r="W165" s="6"/>
      <c r="X165" s="146"/>
      <c r="Y165" s="130"/>
      <c r="Z165" s="3"/>
      <c r="AA165" s="3"/>
      <c r="AB165" s="3"/>
      <c r="AC165" s="4" t="s">
        <v>235</v>
      </c>
    </row>
    <row r="166" s="164" customFormat="1" spans="1:29">
      <c r="A166" s="243" t="s">
        <v>143</v>
      </c>
      <c r="B166" s="6" t="s">
        <v>150</v>
      </c>
      <c r="C166" s="6">
        <f>SUMIFS(周检修业务统计数据!E:E,周检修业务统计数据!B:B,B166,周检修业务统计数据!C:C,"干箱",周检修业务统计数据!D:D,"COS")</f>
        <v>119</v>
      </c>
      <c r="D166" s="6">
        <f>C166-'2025年18周'!C166</f>
        <v>-15</v>
      </c>
      <c r="E166" s="75">
        <f>(SUMIFS(周检修业务统计数据!I:I,周检修业务统计数据!B:B,B166,周检修业务统计数据!C:C,"干箱",周检修业务统计数据!D:D,"COS")+SUMIFS(周检修业务统计数据!J:J,周检修业务统计数据!B:B,B166,周检修业务统计数据!C:C,"干箱",周检修业务统计数据!D:D,"COS"))*1.13</f>
        <v>14926.38</v>
      </c>
      <c r="F166" s="76">
        <f>(E166-'2025年18周'!E166)/'2025年18周'!E166</f>
        <v>-0.0135</v>
      </c>
      <c r="G166" s="77">
        <f t="shared" si="35"/>
        <v>125</v>
      </c>
      <c r="H166" s="76">
        <f>(G166-'2025年18周'!G166)/'2025年18周'!G166</f>
        <v>0.1062</v>
      </c>
      <c r="I166" s="6">
        <f>SUMIFS(周检修业务统计数据!L:L,周检修业务统计数据!B:B,B166,周检修业务统计数据!C:C,"干箱",周检修业务统计数据!D:D,"COS")*1.06</f>
        <v>7864.8502</v>
      </c>
      <c r="J166" s="6">
        <f>SUMIFS(周检修业务统计数据!E:E,周检修业务统计数据!B:B,B166,周检修业务统计数据!C:C,"干箱",周检修业务统计数据!D:D,"&lt;&gt;COS")</f>
        <v>0</v>
      </c>
      <c r="K166" s="6">
        <f>J166-'2025年18周'!J166</f>
        <v>0</v>
      </c>
      <c r="L166" s="75">
        <f>(SUMIFS(周检修业务统计数据!I:I,周检修业务统计数据!B:B,B166,周检修业务统计数据!C:C,"干箱",周检修业务统计数据!D:D,"&lt;&gt;COS")+SUMIFS(周检修业务统计数据!J:J,周检修业务统计数据!B:B,B166,周检修业务统计数据!C:C,"干箱",周检修业务统计数据!D:D,"&lt;&gt;COS"))*1.13++SUMIFS(周检修业务统计数据!L:L,周检修业务统计数据!B:B,B166,周检修业务统计数据!C:C,"干箱",周检修业务统计数据!D:D,"&lt;&gt;COS")*1.06</f>
        <v>0</v>
      </c>
      <c r="M166" s="76" t="e">
        <f>(L166-'2025年18周'!L166)/'2025年18周'!L166</f>
        <v>#DIV/0!</v>
      </c>
      <c r="N166" s="77" t="e">
        <f t="shared" si="36"/>
        <v>#DIV/0!</v>
      </c>
      <c r="O166" s="76" t="e">
        <f>(N166-'2025年18周'!N166)/'2025年18周'!N166</f>
        <v>#DIV/0!</v>
      </c>
      <c r="P166" s="78">
        <f>(SUMIFS(周检修业务统计数据!I:I,周检修业务统计数据!B:B,B166,周检修业务统计数据!C:C,"&lt;&gt;干箱")+SUMIFS(周检修业务统计数据!J:J,周检修业务统计数据!B:B,B166,周检修业务统计数据!C:C,"&lt;&gt;干箱"))*1.13++SUMIFS(周检修业务统计数据!L:L,周检修业务统计数据!B:B,B166,周检修业务统计数据!C:C,"&lt;&gt;干箱")*1.06</f>
        <v>0</v>
      </c>
      <c r="Q166" s="3"/>
      <c r="R166" s="3"/>
      <c r="S166" s="3">
        <f t="shared" si="37"/>
        <v>0</v>
      </c>
      <c r="T166" s="238">
        <f t="shared" si="38"/>
        <v>119</v>
      </c>
      <c r="U166" s="77">
        <f t="shared" si="39"/>
        <v>22791</v>
      </c>
      <c r="V166" s="77" t="e">
        <f t="shared" si="40"/>
        <v>#DIV/0!</v>
      </c>
      <c r="W166" s="6"/>
      <c r="X166" s="146"/>
      <c r="Y166" s="130"/>
      <c r="Z166" s="3"/>
      <c r="AA166" s="3"/>
      <c r="AB166" s="3"/>
      <c r="AC166" s="4"/>
    </row>
    <row r="167" spans="1:29">
      <c r="A167" s="17" t="s">
        <v>151</v>
      </c>
      <c r="B167" s="6" t="s">
        <v>152</v>
      </c>
      <c r="C167" s="6">
        <f>SUMIFS(周检修业务统计数据!E:E,周检修业务统计数据!B:B,B167,周检修业务统计数据!C:C,"干箱",周检修业务统计数据!D:D,"COS")</f>
        <v>94</v>
      </c>
      <c r="D167" s="6">
        <f>C167-'2025年18周'!C167</f>
        <v>-67</v>
      </c>
      <c r="E167" s="75">
        <f>(SUMIFS(周检修业务统计数据!I:I,周检修业务统计数据!B:B,B167,周检修业务统计数据!C:C,"干箱",周检修业务统计数据!D:D,"COS")+SUMIFS(周检修业务统计数据!J:J,周检修业务统计数据!B:B,B167,周检修业务统计数据!C:C,"干箱",周检修业务统计数据!D:D,"COS"))*1.13</f>
        <v>15637.99</v>
      </c>
      <c r="F167" s="76">
        <f>(E167-'2025年18周'!E167)/'2025年18周'!E167</f>
        <v>-0.4488</v>
      </c>
      <c r="G167" s="77">
        <f t="shared" si="35"/>
        <v>166</v>
      </c>
      <c r="H167" s="76">
        <f>(G167-'2025年18周'!G167)/'2025年18周'!G167</f>
        <v>-0.0568</v>
      </c>
      <c r="I167" s="6">
        <f>SUMIFS(周检修业务统计数据!L:L,周检修业务统计数据!B:B,B167,周检修业务统计数据!C:C,"干箱",周检修业务统计数据!D:D,"COS")*1.06</f>
        <v>0</v>
      </c>
      <c r="J167" s="6">
        <f>SUMIFS(周检修业务统计数据!E:E,周检修业务统计数据!B:B,B167,周检修业务统计数据!C:C,"干箱",周检修业务统计数据!D:D,"&lt;&gt;COS")</f>
        <v>0</v>
      </c>
      <c r="K167" s="6">
        <f>J167-'2025年18周'!J167</f>
        <v>0</v>
      </c>
      <c r="L167" s="75">
        <f>(SUMIFS(周检修业务统计数据!I:I,周检修业务统计数据!B:B,B167,周检修业务统计数据!C:C,"干箱",周检修业务统计数据!D:D,"&lt;&gt;COS")+SUMIFS(周检修业务统计数据!J:J,周检修业务统计数据!B:B,B167,周检修业务统计数据!C:C,"干箱",周检修业务统计数据!D:D,"&lt;&gt;COS"))*1.13++SUMIFS(周检修业务统计数据!L:L,周检修业务统计数据!B:B,B167,周检修业务统计数据!C:C,"干箱",周检修业务统计数据!D:D,"&lt;&gt;COS")*1.06</f>
        <v>0</v>
      </c>
      <c r="M167" s="76" t="e">
        <f>(L167-'2025年18周'!L167)/'2025年18周'!L167</f>
        <v>#DIV/0!</v>
      </c>
      <c r="N167" s="77" t="e">
        <f t="shared" si="36"/>
        <v>#DIV/0!</v>
      </c>
      <c r="O167" s="76" t="e">
        <f>(N167-'2025年18周'!N167)/'2025年18周'!N167</f>
        <v>#DIV/0!</v>
      </c>
      <c r="P167" s="78">
        <f>(SUMIFS(周检修业务统计数据!I:I,周检修业务统计数据!B:B,B167,周检修业务统计数据!C:C,"&lt;&gt;干箱")+SUMIFS(周检修业务统计数据!J:J,周检修业务统计数据!B:B,B167,周检修业务统计数据!C:C,"&lt;&gt;干箱"))*1.13++SUMIFS(周检修业务统计数据!L:L,周检修业务统计数据!B:B,B167,周检修业务统计数据!C:C,"&lt;&gt;干箱")*1.06</f>
        <v>0</v>
      </c>
      <c r="Q167" s="3"/>
      <c r="R167" s="3"/>
      <c r="S167" s="3">
        <f t="shared" si="37"/>
        <v>0</v>
      </c>
      <c r="T167" s="238">
        <f t="shared" si="38"/>
        <v>94</v>
      </c>
      <c r="U167" s="77">
        <f t="shared" si="39"/>
        <v>15638</v>
      </c>
      <c r="V167" s="77" t="e">
        <f t="shared" si="40"/>
        <v>#DIV/0!</v>
      </c>
      <c r="W167" s="6"/>
      <c r="X167" s="146"/>
      <c r="Y167" s="130"/>
      <c r="Z167" s="3"/>
      <c r="AA167" s="3"/>
      <c r="AB167" s="3"/>
      <c r="AC167" s="4"/>
    </row>
    <row r="168" spans="1:29">
      <c r="A168" s="17" t="s">
        <v>153</v>
      </c>
      <c r="B168" s="6" t="s">
        <v>154</v>
      </c>
      <c r="C168" s="6">
        <f>SUMIFS(周检修业务统计数据!E:E,周检修业务统计数据!B:B,B168,周检修业务统计数据!C:C,"干箱",周检修业务统计数据!D:D,"COS")</f>
        <v>133</v>
      </c>
      <c r="D168" s="6">
        <f>C168-'2025年18周'!C168</f>
        <v>-64</v>
      </c>
      <c r="E168" s="75">
        <f>(SUMIFS(周检修业务统计数据!I:I,周检修业务统计数据!B:B,B168,周检修业务统计数据!C:C,"干箱",周检修业务统计数据!D:D,"COS")+SUMIFS(周检修业务统计数据!J:J,周检修业务统计数据!B:B,B168,周检修业务统计数据!C:C,"干箱",周检修业务统计数据!D:D,"COS"))*1.13</f>
        <v>25832.76</v>
      </c>
      <c r="F168" s="76">
        <f>(E168-'2025年18周'!E168)/'2025年18周'!E168</f>
        <v>-0.381</v>
      </c>
      <c r="G168" s="77">
        <f t="shared" si="35"/>
        <v>194</v>
      </c>
      <c r="H168" s="76">
        <f>(G168-'2025年18周'!G168)/'2025年18周'!G168</f>
        <v>-0.0849</v>
      </c>
      <c r="I168" s="6">
        <f>SUMIFS(周检修业务统计数据!L:L,周检修业务统计数据!B:B,B168,周检修业务统计数据!C:C,"干箱",周检修业务统计数据!D:D,"COS")*1.06</f>
        <v>7995.1666</v>
      </c>
      <c r="J168" s="6">
        <f>SUMIFS(周检修业务统计数据!E:E,周检修业务统计数据!B:B,B168,周检修业务统计数据!C:C,"干箱",周检修业务统计数据!D:D,"&lt;&gt;COS")</f>
        <v>0</v>
      </c>
      <c r="K168" s="6">
        <f>J168-'2025年18周'!J168</f>
        <v>0</v>
      </c>
      <c r="L168" s="75">
        <f>(SUMIFS(周检修业务统计数据!I:I,周检修业务统计数据!B:B,B168,周检修业务统计数据!C:C,"干箱",周检修业务统计数据!D:D,"&lt;&gt;COS")+SUMIFS(周检修业务统计数据!J:J,周检修业务统计数据!B:B,B168,周检修业务统计数据!C:C,"干箱",周检修业务统计数据!D:D,"&lt;&gt;COS"))*1.13++SUMIFS(周检修业务统计数据!L:L,周检修业务统计数据!B:B,B168,周检修业务统计数据!C:C,"干箱",周检修业务统计数据!D:D,"&lt;&gt;COS")*1.06</f>
        <v>0</v>
      </c>
      <c r="M168" s="76" t="e">
        <f>(L168-'2025年18周'!L168)/'2025年18周'!L168</f>
        <v>#DIV/0!</v>
      </c>
      <c r="N168" s="77" t="e">
        <f t="shared" si="36"/>
        <v>#DIV/0!</v>
      </c>
      <c r="O168" s="76" t="e">
        <f>(N168-'2025年18周'!N168)/'2025年18周'!N168</f>
        <v>#DIV/0!</v>
      </c>
      <c r="P168" s="78">
        <f>(SUMIFS(周检修业务统计数据!I:I,周检修业务统计数据!B:B,B168,周检修业务统计数据!C:C,"&lt;&gt;干箱")+SUMIFS(周检修业务统计数据!J:J,周检修业务统计数据!B:B,B168,周检修业务统计数据!C:C,"&lt;&gt;干箱"))*1.13++SUMIFS(周检修业务统计数据!L:L,周检修业务统计数据!B:B,B168,周检修业务统计数据!C:C,"&lt;&gt;干箱")*1.06</f>
        <v>0</v>
      </c>
      <c r="Q168" s="3"/>
      <c r="R168" s="3"/>
      <c r="S168" s="3">
        <f t="shared" si="37"/>
        <v>0</v>
      </c>
      <c r="T168" s="238">
        <f t="shared" si="38"/>
        <v>133</v>
      </c>
      <c r="U168" s="77">
        <f t="shared" si="39"/>
        <v>33828</v>
      </c>
      <c r="V168" s="77" t="e">
        <f t="shared" si="40"/>
        <v>#DIV/0!</v>
      </c>
      <c r="W168" s="6"/>
      <c r="X168" s="146"/>
      <c r="Y168" s="130"/>
      <c r="Z168" s="3"/>
      <c r="AA168" s="3"/>
      <c r="AB168" s="3"/>
      <c r="AC168" s="4"/>
    </row>
    <row r="169" spans="1:29">
      <c r="A169" s="3" t="s">
        <v>55</v>
      </c>
      <c r="B169" s="6" t="s">
        <v>155</v>
      </c>
      <c r="C169" s="6">
        <f>SUMIFS(周检修业务统计数据!E:E,周检修业务统计数据!B:B,B169,周检修业务统计数据!C:C,"干箱",周检修业务统计数据!D:D,"COS")</f>
        <v>0</v>
      </c>
      <c r="D169" s="6">
        <f>C169-'2025年18周'!C169</f>
        <v>0</v>
      </c>
      <c r="E169" s="75">
        <f>(SUMIFS(周检修业务统计数据!I:I,周检修业务统计数据!B:B,B169,周检修业务统计数据!C:C,"干箱",周检修业务统计数据!D:D,"COS")+SUMIFS(周检修业务统计数据!J:J,周检修业务统计数据!B:B,B169,周检修业务统计数据!C:C,"干箱",周检修业务统计数据!D:D,"COS"))*1.13</f>
        <v>0</v>
      </c>
      <c r="F169" s="76" t="e">
        <f>(E169-'2025年18周'!E169)/'2025年18周'!E169</f>
        <v>#DIV/0!</v>
      </c>
      <c r="G169" s="77" t="e">
        <f t="shared" si="35"/>
        <v>#DIV/0!</v>
      </c>
      <c r="H169" s="76" t="e">
        <f>(G169-'2025年18周'!G169)/'2025年18周'!G169</f>
        <v>#DIV/0!</v>
      </c>
      <c r="I169" s="6">
        <f>SUMIFS(周检修业务统计数据!L:L,周检修业务统计数据!B:B,B169,周检修业务统计数据!C:C,"干箱",周检修业务统计数据!D:D,"COS")*1.06</f>
        <v>0</v>
      </c>
      <c r="J169" s="6">
        <f>SUMIFS(周检修业务统计数据!E:E,周检修业务统计数据!B:B,B169,周检修业务统计数据!C:C,"干箱",周检修业务统计数据!D:D,"&lt;&gt;COS")</f>
        <v>0</v>
      </c>
      <c r="K169" s="6">
        <f>J169-'2025年18周'!J169</f>
        <v>0</v>
      </c>
      <c r="L169" s="75">
        <f>(SUMIFS(周检修业务统计数据!I:I,周检修业务统计数据!B:B,B169,周检修业务统计数据!C:C,"干箱",周检修业务统计数据!D:D,"&lt;&gt;COS")+SUMIFS(周检修业务统计数据!J:J,周检修业务统计数据!B:B,B169,周检修业务统计数据!C:C,"干箱",周检修业务统计数据!D:D,"&lt;&gt;COS"))*1.13++SUMIFS(周检修业务统计数据!L:L,周检修业务统计数据!B:B,B169,周检修业务统计数据!C:C,"干箱",周检修业务统计数据!D:D,"&lt;&gt;COS")*1.06</f>
        <v>0</v>
      </c>
      <c r="M169" s="76" t="e">
        <f>(L169-'2025年18周'!L169)/'2025年18周'!L169</f>
        <v>#DIV/0!</v>
      </c>
      <c r="N169" s="77" t="e">
        <f t="shared" si="36"/>
        <v>#DIV/0!</v>
      </c>
      <c r="O169" s="76" t="e">
        <f>(N169-'2025年18周'!N169)/'2025年18周'!N169</f>
        <v>#DIV/0!</v>
      </c>
      <c r="P169" s="78">
        <f>(SUMIFS(周检修业务统计数据!I:I,周检修业务统计数据!B:B,B169,周检修业务统计数据!C:C,"&lt;&gt;干箱")+SUMIFS(周检修业务统计数据!J:J,周检修业务统计数据!B:B,B169,周检修业务统计数据!C:C,"&lt;&gt;干箱"))*1.13++SUMIFS(周检修业务统计数据!L:L,周检修业务统计数据!B:B,B169,周检修业务统计数据!C:C,"&lt;&gt;干箱")*1.06</f>
        <v>0</v>
      </c>
      <c r="Q169" s="3"/>
      <c r="R169" s="3"/>
      <c r="S169" s="3">
        <f t="shared" si="37"/>
        <v>0</v>
      </c>
      <c r="T169" s="238">
        <f t="shared" si="38"/>
        <v>0</v>
      </c>
      <c r="U169" s="77">
        <f t="shared" si="39"/>
        <v>0</v>
      </c>
      <c r="V169" s="77" t="e">
        <f t="shared" si="40"/>
        <v>#DIV/0!</v>
      </c>
      <c r="W169" s="6"/>
      <c r="X169" s="146"/>
      <c r="Y169" s="130"/>
      <c r="Z169" s="3"/>
      <c r="AA169" s="3"/>
      <c r="AB169" s="3"/>
      <c r="AC169" s="4"/>
    </row>
    <row r="170" spans="1:29">
      <c r="A170" s="3" t="s">
        <v>156</v>
      </c>
      <c r="B170" s="6" t="s">
        <v>157</v>
      </c>
      <c r="C170" s="6">
        <f>SUMIFS(周检修业务统计数据!E:E,周检修业务统计数据!B:B,B170,周检修业务统计数据!C:C,"干箱",周检修业务统计数据!D:D,"COS")</f>
        <v>0</v>
      </c>
      <c r="D170" s="6">
        <f>C170-'2025年18周'!C170</f>
        <v>-5</v>
      </c>
      <c r="E170" s="75">
        <f>(SUMIFS(周检修业务统计数据!I:I,周检修业务统计数据!B:B,B170,周检修业务统计数据!C:C,"干箱",周检修业务统计数据!D:D,"COS")+SUMIFS(周检修业务统计数据!J:J,周检修业务统计数据!B:B,B170,周检修业务统计数据!C:C,"干箱",周检修业务统计数据!D:D,"COS"))*1.13</f>
        <v>0</v>
      </c>
      <c r="F170" s="76">
        <f>(E170-'2025年18周'!E170)/'2025年18周'!E170</f>
        <v>-1</v>
      </c>
      <c r="G170" s="77" t="e">
        <f t="shared" si="35"/>
        <v>#DIV/0!</v>
      </c>
      <c r="H170" s="76" t="e">
        <f>(G170-'2025年18周'!G170)/'2025年18周'!G170</f>
        <v>#DIV/0!</v>
      </c>
      <c r="I170" s="6">
        <f>SUMIFS(周检修业务统计数据!L:L,周检修业务统计数据!B:B,B170,周检修业务统计数据!C:C,"干箱",周检修业务统计数据!D:D,"COS")*1.06</f>
        <v>0</v>
      </c>
      <c r="J170" s="6">
        <f>SUMIFS(周检修业务统计数据!E:E,周检修业务统计数据!B:B,B170,周检修业务统计数据!C:C,"干箱",周检修业务统计数据!D:D,"&lt;&gt;COS")</f>
        <v>0</v>
      </c>
      <c r="K170" s="6">
        <f>J170-'2025年18周'!J170</f>
        <v>0</v>
      </c>
      <c r="L170" s="75">
        <f>(SUMIFS(周检修业务统计数据!I:I,周检修业务统计数据!B:B,B170,周检修业务统计数据!C:C,"干箱",周检修业务统计数据!D:D,"&lt;&gt;COS")+SUMIFS(周检修业务统计数据!J:J,周检修业务统计数据!B:B,B170,周检修业务统计数据!C:C,"干箱",周检修业务统计数据!D:D,"&lt;&gt;COS"))*1.13++SUMIFS(周检修业务统计数据!L:L,周检修业务统计数据!B:B,B170,周检修业务统计数据!C:C,"干箱",周检修业务统计数据!D:D,"&lt;&gt;COS")*1.06</f>
        <v>0</v>
      </c>
      <c r="M170" s="76" t="e">
        <f>(L170-'2025年18周'!L170)/'2025年18周'!L170</f>
        <v>#DIV/0!</v>
      </c>
      <c r="N170" s="77" t="e">
        <f t="shared" si="36"/>
        <v>#DIV/0!</v>
      </c>
      <c r="O170" s="76" t="e">
        <f>(N170-'2025年18周'!N170)/'2025年18周'!N170</f>
        <v>#DIV/0!</v>
      </c>
      <c r="P170" s="78">
        <f>(SUMIFS(周检修业务统计数据!I:I,周检修业务统计数据!B:B,B170,周检修业务统计数据!C:C,"&lt;&gt;干箱")+SUMIFS(周检修业务统计数据!J:J,周检修业务统计数据!B:B,B170,周检修业务统计数据!C:C,"&lt;&gt;干箱"))*1.13++SUMIFS(周检修业务统计数据!L:L,周检修业务统计数据!B:B,B170,周检修业务统计数据!C:C,"&lt;&gt;干箱")*1.06</f>
        <v>0</v>
      </c>
      <c r="Q170" s="3"/>
      <c r="R170" s="3"/>
      <c r="S170" s="3">
        <f t="shared" si="37"/>
        <v>0</v>
      </c>
      <c r="T170" s="238">
        <f t="shared" si="38"/>
        <v>0</v>
      </c>
      <c r="U170" s="77">
        <f t="shared" si="39"/>
        <v>0</v>
      </c>
      <c r="V170" s="77" t="e">
        <f t="shared" si="40"/>
        <v>#DIV/0!</v>
      </c>
      <c r="W170" s="6"/>
      <c r="X170" s="146"/>
      <c r="Y170" s="130"/>
      <c r="Z170" s="3"/>
      <c r="AA170" s="3"/>
      <c r="AB170" s="3"/>
      <c r="AC170" s="4"/>
    </row>
    <row r="171" spans="1:29">
      <c r="A171" s="17" t="s">
        <v>158</v>
      </c>
      <c r="B171" s="6" t="s">
        <v>159</v>
      </c>
      <c r="C171" s="6">
        <f>SUMIFS(周检修业务统计数据!E:E,周检修业务统计数据!B:B,B171,周检修业务统计数据!C:C,"干箱",周检修业务统计数据!D:D,"COS")</f>
        <v>11</v>
      </c>
      <c r="D171" s="6">
        <f>C171-'2025年18周'!C171</f>
        <v>6</v>
      </c>
      <c r="E171" s="75">
        <f>(SUMIFS(周检修业务统计数据!I:I,周检修业务统计数据!B:B,B171,周检修业务统计数据!C:C,"干箱",周检修业务统计数据!D:D,"COS")+SUMIFS(周检修业务统计数据!J:J,周检修业务统计数据!B:B,B171,周检修业务统计数据!C:C,"干箱",周检修业务统计数据!D:D,"COS"))*1.13</f>
        <v>5333.57</v>
      </c>
      <c r="F171" s="76">
        <f>(E171-'2025年18周'!E171)/'2025年18周'!E171</f>
        <v>4.2444</v>
      </c>
      <c r="G171" s="77">
        <f t="shared" si="35"/>
        <v>485</v>
      </c>
      <c r="H171" s="76">
        <f>(G171-'2025年18周'!G171)/'2025年18周'!G171</f>
        <v>1.3892</v>
      </c>
      <c r="I171" s="6">
        <f>SUMIFS(周检修业务统计数据!L:L,周检修业务统计数据!B:B,B171,周检修业务统计数据!C:C,"干箱",周检修业务统计数据!D:D,"COS")*1.06</f>
        <v>605.0374</v>
      </c>
      <c r="J171" s="6">
        <f>SUMIFS(周检修业务统计数据!E:E,周检修业务统计数据!B:B,B171,周检修业务统计数据!C:C,"干箱",周检修业务统计数据!D:D,"&lt;&gt;COS")</f>
        <v>0</v>
      </c>
      <c r="K171" s="6">
        <f>J171-'2025年18周'!J171</f>
        <v>0</v>
      </c>
      <c r="L171" s="75">
        <f>(SUMIFS(周检修业务统计数据!I:I,周检修业务统计数据!B:B,B171,周检修业务统计数据!C:C,"干箱",周检修业务统计数据!D:D,"&lt;&gt;COS")+SUMIFS(周检修业务统计数据!J:J,周检修业务统计数据!B:B,B171,周检修业务统计数据!C:C,"干箱",周检修业务统计数据!D:D,"&lt;&gt;COS"))*1.13++SUMIFS(周检修业务统计数据!L:L,周检修业务统计数据!B:B,B171,周检修业务统计数据!C:C,"干箱",周检修业务统计数据!D:D,"&lt;&gt;COS")*1.06</f>
        <v>0</v>
      </c>
      <c r="M171" s="76" t="e">
        <f>(L171-'2025年18周'!L171)/'2025年18周'!L171</f>
        <v>#DIV/0!</v>
      </c>
      <c r="N171" s="77" t="e">
        <f t="shared" si="36"/>
        <v>#DIV/0!</v>
      </c>
      <c r="O171" s="76" t="e">
        <f>(N171-'2025年18周'!N171)/'2025年18周'!N171</f>
        <v>#DIV/0!</v>
      </c>
      <c r="P171" s="78">
        <f>(SUMIFS(周检修业务统计数据!I:I,周检修业务统计数据!B:B,B171,周检修业务统计数据!C:C,"&lt;&gt;干箱")+SUMIFS(周检修业务统计数据!J:J,周检修业务统计数据!B:B,B171,周检修业务统计数据!C:C,"&lt;&gt;干箱"))*1.13++SUMIFS(周检修业务统计数据!L:L,周检修业务统计数据!B:B,B171,周检修业务统计数据!C:C,"&lt;&gt;干箱")*1.06</f>
        <v>0</v>
      </c>
      <c r="Q171" s="3"/>
      <c r="R171" s="3"/>
      <c r="S171" s="3">
        <f t="shared" si="37"/>
        <v>0</v>
      </c>
      <c r="T171" s="238">
        <f t="shared" si="38"/>
        <v>11</v>
      </c>
      <c r="U171" s="77">
        <f t="shared" si="39"/>
        <v>5939</v>
      </c>
      <c r="V171" s="77" t="e">
        <f t="shared" si="40"/>
        <v>#DIV/0!</v>
      </c>
      <c r="W171" s="6"/>
      <c r="X171" s="146"/>
      <c r="Y171" s="130"/>
      <c r="Z171" s="3"/>
      <c r="AA171" s="3"/>
      <c r="AB171" s="3"/>
      <c r="AC171" s="4"/>
    </row>
    <row r="172" spans="1:29">
      <c r="A172" s="17" t="s">
        <v>158</v>
      </c>
      <c r="B172" s="6" t="s">
        <v>160</v>
      </c>
      <c r="C172" s="6">
        <f>SUMIFS(周检修业务统计数据!E:E,周检修业务统计数据!B:B,B172,周检修业务统计数据!C:C,"干箱",周检修业务统计数据!D:D,"COS")</f>
        <v>58</v>
      </c>
      <c r="D172" s="6">
        <f>C172-'2025年18周'!C172</f>
        <v>-8</v>
      </c>
      <c r="E172" s="75">
        <f>(SUMIFS(周检修业务统计数据!I:I,周检修业务统计数据!B:B,B172,周检修业务统计数据!C:C,"干箱",周检修业务统计数据!D:D,"COS")+SUMIFS(周检修业务统计数据!J:J,周检修业务统计数据!B:B,B172,周检修业务统计数据!C:C,"干箱",周检修业务统计数据!D:D,"COS"))*1.13</f>
        <v>9694.7</v>
      </c>
      <c r="F172" s="76">
        <f>(E172-'2025年18周'!E172)/'2025年18周'!E172</f>
        <v>-0.468</v>
      </c>
      <c r="G172" s="77">
        <f t="shared" si="35"/>
        <v>167</v>
      </c>
      <c r="H172" s="76">
        <f>(G172-'2025年18周'!G172)/'2025年18周'!G172</f>
        <v>-0.3949</v>
      </c>
      <c r="I172" s="6">
        <f>SUMIFS(周检修业务统计数据!L:L,周检修业务统计数据!B:B,B172,周检修业务统计数据!C:C,"干箱",周检修业务统计数据!D:D,"COS")*1.06</f>
        <v>3190.1972</v>
      </c>
      <c r="J172" s="6">
        <f>SUMIFS(周检修业务统计数据!E:E,周检修业务统计数据!B:B,B172,周检修业务统计数据!C:C,"干箱",周检修业务统计数据!D:D,"&lt;&gt;COS")</f>
        <v>0</v>
      </c>
      <c r="K172" s="6">
        <f>J172-'2025年18周'!J172</f>
        <v>0</v>
      </c>
      <c r="L172" s="75">
        <f>(SUMIFS(周检修业务统计数据!I:I,周检修业务统计数据!B:B,B172,周检修业务统计数据!C:C,"干箱",周检修业务统计数据!D:D,"&lt;&gt;COS")+SUMIFS(周检修业务统计数据!J:J,周检修业务统计数据!B:B,B172,周检修业务统计数据!C:C,"干箱",周检修业务统计数据!D:D,"&lt;&gt;COS"))*1.13++SUMIFS(周检修业务统计数据!L:L,周检修业务统计数据!B:B,B172,周检修业务统计数据!C:C,"干箱",周检修业务统计数据!D:D,"&lt;&gt;COS")*1.06</f>
        <v>0</v>
      </c>
      <c r="M172" s="76" t="e">
        <f>(L172-'2025年18周'!L172)/'2025年18周'!L172</f>
        <v>#DIV/0!</v>
      </c>
      <c r="N172" s="77" t="e">
        <f t="shared" si="36"/>
        <v>#DIV/0!</v>
      </c>
      <c r="O172" s="76" t="e">
        <f>(N172-'2025年18周'!N172)/'2025年18周'!N172</f>
        <v>#DIV/0!</v>
      </c>
      <c r="P172" s="78">
        <f>(SUMIFS(周检修业务统计数据!I:I,周检修业务统计数据!B:B,B172,周检修业务统计数据!C:C,"&lt;&gt;干箱")+SUMIFS(周检修业务统计数据!J:J,周检修业务统计数据!B:B,B172,周检修业务统计数据!C:C,"&lt;&gt;干箱"))*1.13++SUMIFS(周检修业务统计数据!L:L,周检修业务统计数据!B:B,B172,周检修业务统计数据!C:C,"&lt;&gt;干箱")*1.06</f>
        <v>0</v>
      </c>
      <c r="Q172" s="3"/>
      <c r="R172" s="3"/>
      <c r="S172" s="3">
        <f>S311</f>
        <v>0</v>
      </c>
      <c r="T172" s="238">
        <f t="shared" si="38"/>
        <v>58</v>
      </c>
      <c r="U172" s="77">
        <f t="shared" si="39"/>
        <v>12885</v>
      </c>
      <c r="V172" s="77" t="e">
        <f t="shared" si="40"/>
        <v>#DIV/0!</v>
      </c>
      <c r="W172" s="6"/>
      <c r="X172" s="146"/>
      <c r="Y172" s="130"/>
      <c r="Z172" s="3"/>
      <c r="AA172" s="3"/>
      <c r="AB172" s="3"/>
      <c r="AC172" s="4"/>
    </row>
    <row r="173" spans="1:29">
      <c r="A173" s="20" t="s">
        <v>161</v>
      </c>
      <c r="B173" s="6" t="s">
        <v>162</v>
      </c>
      <c r="C173" s="6">
        <f>SUMIFS(周检修业务统计数据!E:E,周检修业务统计数据!B:B,B173,周检修业务统计数据!C:C,"干箱",周检修业务统计数据!D:D,"COS")</f>
        <v>76</v>
      </c>
      <c r="D173" s="6">
        <f>C173-'2025年18周'!C173</f>
        <v>-4</v>
      </c>
      <c r="E173" s="75">
        <f>(SUMIFS(周检修业务统计数据!I:I,周检修业务统计数据!B:B,B173,周检修业务统计数据!C:C,"干箱",周检修业务统计数据!D:D,"COS")+SUMIFS(周检修业务统计数据!J:J,周检修业务统计数据!B:B,B173,周检修业务统计数据!C:C,"干箱",周检修业务统计数据!D:D,"COS"))*1.13</f>
        <v>35264.73</v>
      </c>
      <c r="F173" s="76">
        <f>(E173-'2025年18周'!E173)/'2025年18周'!E173</f>
        <v>0.0842</v>
      </c>
      <c r="G173" s="77">
        <f t="shared" si="35"/>
        <v>464</v>
      </c>
      <c r="H173" s="76">
        <f>(G173-'2025年18周'!G173)/'2025年18周'!G173</f>
        <v>0.14</v>
      </c>
      <c r="I173" s="6">
        <f>SUMIFS(周检修业务统计数据!L:L,周检修业务统计数据!B:B,B173,周检修业务统计数据!C:C,"干箱",周检修业务统计数据!D:D,"COS")*1.06</f>
        <v>4180.2584</v>
      </c>
      <c r="J173" s="6">
        <f>SUMIFS(周检修业务统计数据!E:E,周检修业务统计数据!B:B,B173,周检修业务统计数据!C:C,"干箱",周检修业务统计数据!D:D,"&lt;&gt;COS")</f>
        <v>0</v>
      </c>
      <c r="K173" s="6">
        <f>J173-'2025年18周'!J173</f>
        <v>0</v>
      </c>
      <c r="L173" s="75">
        <f>(SUMIFS(周检修业务统计数据!I:I,周检修业务统计数据!B:B,B173,周检修业务统计数据!C:C,"干箱",周检修业务统计数据!D:D,"&lt;&gt;COS")+SUMIFS(周检修业务统计数据!J:J,周检修业务统计数据!B:B,B173,周检修业务统计数据!C:C,"干箱",周检修业务统计数据!D:D,"&lt;&gt;COS"))*1.13++SUMIFS(周检修业务统计数据!L:L,周检修业务统计数据!B:B,B173,周检修业务统计数据!C:C,"干箱",周检修业务统计数据!D:D,"&lt;&gt;COS")*1.06</f>
        <v>0</v>
      </c>
      <c r="M173" s="76" t="e">
        <f>(L173-'2025年18周'!L173)/'2025年18周'!L173</f>
        <v>#DIV/0!</v>
      </c>
      <c r="N173" s="77" t="e">
        <f t="shared" si="36"/>
        <v>#DIV/0!</v>
      </c>
      <c r="O173" s="76" t="e">
        <f>(N173-'2025年18周'!N173)/'2025年18周'!N173</f>
        <v>#DIV/0!</v>
      </c>
      <c r="P173" s="78">
        <f>(SUMIFS(周检修业务统计数据!I:I,周检修业务统计数据!B:B,B173,周检修业务统计数据!C:C,"&lt;&gt;干箱")+SUMIFS(周检修业务统计数据!J:J,周检修业务统计数据!B:B,B173,周检修业务统计数据!C:C,"&lt;&gt;干箱"))*1.13++SUMIFS(周检修业务统计数据!L:L,周检修业务统计数据!B:B,B173,周检修业务统计数据!C:C,"&lt;&gt;干箱")*1.06</f>
        <v>0</v>
      </c>
      <c r="Q173" s="3"/>
      <c r="R173" s="3"/>
      <c r="S173" s="3">
        <f>S312</f>
        <v>0</v>
      </c>
      <c r="T173" s="238">
        <f t="shared" si="38"/>
        <v>76</v>
      </c>
      <c r="U173" s="77">
        <f t="shared" si="39"/>
        <v>39445</v>
      </c>
      <c r="V173" s="77" t="e">
        <f t="shared" si="40"/>
        <v>#DIV/0!</v>
      </c>
      <c r="W173" s="6"/>
      <c r="X173" s="146"/>
      <c r="Y173" s="130"/>
      <c r="Z173" s="3"/>
      <c r="AA173" s="3"/>
      <c r="AB173" s="3"/>
      <c r="AC173" s="4"/>
    </row>
    <row r="174" spans="1:29">
      <c r="A174" s="20" t="s">
        <v>14</v>
      </c>
      <c r="B174" s="6" t="s">
        <v>163</v>
      </c>
      <c r="C174" s="6">
        <f>SUMIFS(周检修业务统计数据!E:E,周检修业务统计数据!B:B,B174,周检修业务统计数据!C:C,"干箱",周检修业务统计数据!D:D,"COS")</f>
        <v>0</v>
      </c>
      <c r="D174" s="6">
        <f>C174-'2025年18周'!C174</f>
        <v>0</v>
      </c>
      <c r="E174" s="75">
        <f>(SUMIFS(周检修业务统计数据!I:I,周检修业务统计数据!B:B,B174,周检修业务统计数据!C:C,"干箱",周检修业务统计数据!D:D,"COS")+SUMIFS(周检修业务统计数据!J:J,周检修业务统计数据!B:B,B174,周检修业务统计数据!C:C,"干箱",周检修业务统计数据!D:D,"COS"))*1.13</f>
        <v>0</v>
      </c>
      <c r="F174" s="76" t="e">
        <f>(E174-'2025年18周'!E174)/'2025年18周'!E174</f>
        <v>#DIV/0!</v>
      </c>
      <c r="G174" s="77" t="e">
        <f t="shared" si="35"/>
        <v>#DIV/0!</v>
      </c>
      <c r="H174" s="76" t="e">
        <f>(G174-'2025年18周'!G174)/'2025年18周'!G174</f>
        <v>#DIV/0!</v>
      </c>
      <c r="I174" s="6">
        <f>SUMIFS(周检修业务统计数据!L:L,周检修业务统计数据!B:B,B174,周检修业务统计数据!C:C,"干箱",周检修业务统计数据!D:D,"COS")*1.06</f>
        <v>0</v>
      </c>
      <c r="J174" s="6">
        <f>SUMIFS(周检修业务统计数据!E:E,周检修业务统计数据!B:B,B174,周检修业务统计数据!C:C,"干箱",周检修业务统计数据!D:D,"&lt;&gt;COS")</f>
        <v>48</v>
      </c>
      <c r="K174" s="6">
        <f>J174-'2025年18周'!J174</f>
        <v>7</v>
      </c>
      <c r="L174" s="75">
        <f>(SUMIFS(周检修业务统计数据!I:I,周检修业务统计数据!B:B,B174,周检修业务统计数据!C:C,"干箱",周检修业务统计数据!D:D,"&lt;&gt;COS")+SUMIFS(周检修业务统计数据!J:J,周检修业务统计数据!B:B,B174,周检修业务统计数据!C:C,"干箱",周检修业务统计数据!D:D,"&lt;&gt;COS"))*1.13++SUMIFS(周检修业务统计数据!L:L,周检修业务统计数据!B:B,B174,周检修业务统计数据!C:C,"干箱",周检修业务统计数据!D:D,"&lt;&gt;COS")*1.06</f>
        <v>6229.27</v>
      </c>
      <c r="M174" s="76">
        <f>(L174-'2025年18周'!L174)/'2025年18周'!L174</f>
        <v>-0.1668</v>
      </c>
      <c r="N174" s="77">
        <f t="shared" si="36"/>
        <v>130</v>
      </c>
      <c r="O174" s="76">
        <f>(N174-'2025年18周'!N174)/'2025年18周'!N174</f>
        <v>-0.2857</v>
      </c>
      <c r="P174" s="78">
        <f>(SUMIFS(周检修业务统计数据!I:I,周检修业务统计数据!B:B,B174,周检修业务统计数据!C:C,"&lt;&gt;干箱")+SUMIFS(周检修业务统计数据!J:J,周检修业务统计数据!B:B,B174,周检修业务统计数据!C:C,"&lt;&gt;干箱"))*1.13++SUMIFS(周检修业务统计数据!L:L,周检修业务统计数据!B:B,B174,周检修业务统计数据!C:C,"&lt;&gt;干箱")*1.06</f>
        <v>0</v>
      </c>
      <c r="Q174" s="3"/>
      <c r="R174" s="3">
        <v>8366.4</v>
      </c>
      <c r="S174" s="3">
        <f>S313</f>
        <v>0</v>
      </c>
      <c r="T174" s="238">
        <f t="shared" si="38"/>
        <v>48</v>
      </c>
      <c r="U174" s="77">
        <f t="shared" si="39"/>
        <v>14596</v>
      </c>
      <c r="V174" s="77" t="e">
        <f t="shared" si="40"/>
        <v>#DIV/0!</v>
      </c>
      <c r="W174" s="6"/>
      <c r="X174" s="146"/>
      <c r="Y174" s="130"/>
      <c r="Z174" s="3"/>
      <c r="AA174" s="3"/>
      <c r="AB174" s="3"/>
      <c r="AC174" s="4"/>
    </row>
    <row r="175" spans="1:29">
      <c r="A175" s="20" t="s">
        <v>14</v>
      </c>
      <c r="B175" s="6" t="s">
        <v>164</v>
      </c>
      <c r="C175" s="6">
        <f>SUMIFS(周检修业务统计数据!E:E,周检修业务统计数据!B:B,B175,周检修业务统计数据!C:C,"干箱",周检修业务统计数据!D:D,"COS")</f>
        <v>0</v>
      </c>
      <c r="D175" s="6">
        <f>C175-'2025年18周'!C176</f>
        <v>-54</v>
      </c>
      <c r="E175" s="75">
        <f>(SUMIFS(周检修业务统计数据!I:I,周检修业务统计数据!B:B,B175,周检修业务统计数据!C:C,"干箱",周检修业务统计数据!D:D,"COS")+SUMIFS(周检修业务统计数据!J:J,周检修业务统计数据!B:B,B175,周检修业务统计数据!C:C,"干箱",周检修业务统计数据!D:D,"COS"))*1.13</f>
        <v>0</v>
      </c>
      <c r="F175" s="76">
        <f>(E175-'2025年18周'!E176)/'2025年18周'!E176</f>
        <v>-1</v>
      </c>
      <c r="G175" s="77" t="e">
        <f t="shared" si="35"/>
        <v>#DIV/0!</v>
      </c>
      <c r="H175" s="76" t="e">
        <f>(G175-'2025年18周'!G176)/'2025年18周'!G176</f>
        <v>#DIV/0!</v>
      </c>
      <c r="I175" s="6">
        <f>SUMIFS(周检修业务统计数据!L:L,周检修业务统计数据!B:B,B175,周检修业务统计数据!C:C,"干箱",周检修业务统计数据!D:D,"COS")*1.06</f>
        <v>0</v>
      </c>
      <c r="J175" s="6">
        <f>SUMIFS(周检修业务统计数据!E:E,周检修业务统计数据!B:B,B175,周检修业务统计数据!C:C,"干箱",周检修业务统计数据!D:D,"&lt;&gt;COS")</f>
        <v>0</v>
      </c>
      <c r="K175" s="6">
        <f>J175-'2025年18周'!J176</f>
        <v>0</v>
      </c>
      <c r="L175" s="75">
        <f>(SUMIFS(周检修业务统计数据!I:I,周检修业务统计数据!B:B,B175,周检修业务统计数据!C:C,"干箱",周检修业务统计数据!D:D,"&lt;&gt;COS")+SUMIFS(周检修业务统计数据!J:J,周检修业务统计数据!B:B,B175,周检修业务统计数据!C:C,"干箱",周检修业务统计数据!D:D,"&lt;&gt;COS"))*1.13++SUMIFS(周检修业务统计数据!L:L,周检修业务统计数据!B:B,B175,周检修业务统计数据!C:C,"干箱",周检修业务统计数据!D:D,"&lt;&gt;COS")*1.06</f>
        <v>0</v>
      </c>
      <c r="M175" s="76" t="e">
        <f>(L175-'2025年18周'!L176)/'2025年18周'!L176</f>
        <v>#DIV/0!</v>
      </c>
      <c r="N175" s="77" t="e">
        <f t="shared" si="36"/>
        <v>#DIV/0!</v>
      </c>
      <c r="O175" s="76" t="e">
        <f>(N175-'2025年18周'!N176)/'2025年18周'!N176</f>
        <v>#DIV/0!</v>
      </c>
      <c r="P175" s="78">
        <f>(SUMIFS(周检修业务统计数据!I:I,周检修业务统计数据!B:B,B175,周检修业务统计数据!C:C,"&lt;&gt;干箱")+SUMIFS(周检修业务统计数据!J:J,周检修业务统计数据!B:B,B175,周检修业务统计数据!C:C,"&lt;&gt;干箱"))*1.13++SUMIFS(周检修业务统计数据!L:L,周检修业务统计数据!B:B,B175,周检修业务统计数据!C:C,"&lt;&gt;干箱")*1.06</f>
        <v>0</v>
      </c>
      <c r="Q175" s="3"/>
      <c r="R175" s="3"/>
      <c r="S175" s="3">
        <f>S314</f>
        <v>0</v>
      </c>
      <c r="T175" s="238">
        <f t="shared" si="38"/>
        <v>0</v>
      </c>
      <c r="U175" s="77">
        <f t="shared" si="39"/>
        <v>0</v>
      </c>
      <c r="V175" s="77" t="e">
        <f t="shared" si="40"/>
        <v>#DIV/0!</v>
      </c>
      <c r="W175" s="6"/>
      <c r="X175" s="146"/>
      <c r="Y175" s="130"/>
      <c r="Z175" s="3"/>
      <c r="AA175" s="3"/>
      <c r="AB175" s="3"/>
      <c r="AC175" s="4"/>
    </row>
    <row r="176" spans="1:29">
      <c r="A176" s="3" t="s">
        <v>165</v>
      </c>
      <c r="B176" s="6" t="s">
        <v>166</v>
      </c>
      <c r="C176" s="6">
        <f>SUMIFS(周检修业务统计数据!E:E,周检修业务统计数据!B:B,B176,周检修业务统计数据!C:C,"干箱",周检修业务统计数据!D:D,"COS")</f>
        <v>1</v>
      </c>
      <c r="D176" s="6">
        <f>C176-'2025年18周'!C176</f>
        <v>-53</v>
      </c>
      <c r="E176" s="75">
        <f>(SUMIFS(周检修业务统计数据!I:I,周检修业务统计数据!B:B,B176,周检修业务统计数据!C:C,"干箱",周检修业务统计数据!D:D,"COS")+SUMIFS(周检修业务统计数据!J:J,周检修业务统计数据!B:B,B176,周检修业务统计数据!C:C,"干箱",周检修业务统计数据!D:D,"COS"))*1.13</f>
        <v>233.27</v>
      </c>
      <c r="F176" s="76">
        <f>(E176-'2025年18周'!E176)/'2025年18周'!E176</f>
        <v>-0.885</v>
      </c>
      <c r="G176" s="77">
        <f t="shared" si="35"/>
        <v>233</v>
      </c>
      <c r="H176" s="76">
        <f>(G176-'2025年18周'!G176)/'2025年18周'!G176</f>
        <v>5.1316</v>
      </c>
      <c r="I176" s="6">
        <f>SUMIFS(周检修业务统计数据!L:L,周检修业务统计数据!B:B,B176,周检修业务统计数据!C:C,"干箱",周检修业务统计数据!D:D,"COS")*1.06</f>
        <v>55.0034</v>
      </c>
      <c r="J176" s="6">
        <f>SUMIFS(周检修业务统计数据!E:E,周检修业务统计数据!B:B,B176,周检修业务统计数据!C:C,"干箱",周检修业务统计数据!D:D,"&lt;&gt;COS")</f>
        <v>0</v>
      </c>
      <c r="K176" s="6">
        <f>J176-'2025年18周'!J176</f>
        <v>0</v>
      </c>
      <c r="L176" s="75">
        <f>(SUMIFS(周检修业务统计数据!I:I,周检修业务统计数据!B:B,B176,周检修业务统计数据!C:C,"干箱",周检修业务统计数据!D:D,"&lt;&gt;COS")+SUMIFS(周检修业务统计数据!J:J,周检修业务统计数据!B:B,B176,周检修业务统计数据!C:C,"干箱",周检修业务统计数据!D:D,"&lt;&gt;COS"))*1.13++SUMIFS(周检修业务统计数据!L:L,周检修业务统计数据!B:B,B176,周检修业务统计数据!C:C,"干箱",周检修业务统计数据!D:D,"&lt;&gt;COS")*1.06</f>
        <v>0</v>
      </c>
      <c r="M176" s="76" t="e">
        <f>(L176-'2025年18周'!L176)/'2025年18周'!L176</f>
        <v>#DIV/0!</v>
      </c>
      <c r="N176" s="77" t="e">
        <f t="shared" si="36"/>
        <v>#DIV/0!</v>
      </c>
      <c r="O176" s="76" t="e">
        <f>(N176-'2025年18周'!N176)/'2025年18周'!N176</f>
        <v>#DIV/0!</v>
      </c>
      <c r="P176" s="78">
        <f>(SUMIFS(周检修业务统计数据!I:I,周检修业务统计数据!B:B,B176,周检修业务统计数据!C:C,"&lt;&gt;干箱")+SUMIFS(周检修业务统计数据!J:J,周检修业务统计数据!B:B,B176,周检修业务统计数据!C:C,"&lt;&gt;干箱"))*1.13++SUMIFS(周检修业务统计数据!L:L,周检修业务统计数据!B:B,B176,周检修业务统计数据!C:C,"&lt;&gt;干箱")*1.06</f>
        <v>0</v>
      </c>
      <c r="Q176" s="3"/>
      <c r="R176" s="3"/>
      <c r="S176" s="3">
        <f t="shared" ref="S176:S182" si="41">S314</f>
        <v>0</v>
      </c>
      <c r="T176" s="238">
        <f t="shared" si="38"/>
        <v>1</v>
      </c>
      <c r="U176" s="77">
        <f t="shared" si="39"/>
        <v>288</v>
      </c>
      <c r="V176" s="77" t="e">
        <f t="shared" si="40"/>
        <v>#DIV/0!</v>
      </c>
      <c r="W176" s="6"/>
      <c r="X176" s="146"/>
      <c r="Y176" s="130"/>
      <c r="Z176" s="3"/>
      <c r="AA176" s="3"/>
      <c r="AB176" s="3"/>
      <c r="AC176" s="4" t="s">
        <v>237</v>
      </c>
    </row>
    <row r="177" spans="1:29">
      <c r="A177" s="20" t="s">
        <v>167</v>
      </c>
      <c r="B177" s="6" t="s">
        <v>168</v>
      </c>
      <c r="C177" s="6">
        <f>SUMIFS(周检修业务统计数据!E:E,周检修业务统计数据!B:B,B177,周检修业务统计数据!C:C,"干箱",周检修业务统计数据!D:D,"COS")</f>
        <v>46</v>
      </c>
      <c r="D177" s="6">
        <f>C177-'2025年18周'!C177</f>
        <v>-20</v>
      </c>
      <c r="E177" s="75">
        <f>(SUMIFS(周检修业务统计数据!I:I,周检修业务统计数据!B:B,B177,周检修业务统计数据!C:C,"干箱",周检修业务统计数据!D:D,"COS")+SUMIFS(周检修业务统计数据!J:J,周检修业务统计数据!B:B,B177,周检修业务统计数据!C:C,"干箱",周检修业务统计数据!D:D,"COS"))*1.13</f>
        <v>7821.98</v>
      </c>
      <c r="F177" s="76">
        <f>(E177-'2025年18周'!E177)/'2025年18周'!E177</f>
        <v>-0.6104</v>
      </c>
      <c r="G177" s="77">
        <f t="shared" si="35"/>
        <v>170</v>
      </c>
      <c r="H177" s="76">
        <f>(G177-'2025年18周'!G177)/'2025年18周'!G177</f>
        <v>-0.4408</v>
      </c>
      <c r="I177" s="6">
        <f>SUMIFS(周检修业务统计数据!L:L,周检修业务统计数据!B:B,B177,周检修业务统计数据!C:C,"干箱",周检修业务统计数据!D:D,"COS")*1.06</f>
        <v>2790.0472</v>
      </c>
      <c r="J177" s="6">
        <f>SUMIFS(周检修业务统计数据!E:E,周检修业务统计数据!B:B,B177,周检修业务统计数据!C:C,"干箱",周检修业务统计数据!D:D,"&lt;&gt;COS")</f>
        <v>0</v>
      </c>
      <c r="K177" s="6">
        <f>J177-'2025年18周'!J177</f>
        <v>0</v>
      </c>
      <c r="L177" s="75">
        <f>(SUMIFS(周检修业务统计数据!I:I,周检修业务统计数据!B:B,B177,周检修业务统计数据!C:C,"干箱",周检修业务统计数据!D:D,"&lt;&gt;COS")+SUMIFS(周检修业务统计数据!J:J,周检修业务统计数据!B:B,B177,周检修业务统计数据!C:C,"干箱",周检修业务统计数据!D:D,"&lt;&gt;COS"))*1.13++SUMIFS(周检修业务统计数据!L:L,周检修业务统计数据!B:B,B177,周检修业务统计数据!C:C,"干箱",周检修业务统计数据!D:D,"&lt;&gt;COS")*1.06</f>
        <v>0</v>
      </c>
      <c r="M177" s="76" t="e">
        <f>(L177-'2025年18周'!L177)/'2025年18周'!L177</f>
        <v>#DIV/0!</v>
      </c>
      <c r="N177" s="77" t="e">
        <f t="shared" si="36"/>
        <v>#DIV/0!</v>
      </c>
      <c r="O177" s="76" t="e">
        <f>(N177-'2025年18周'!N177)/'2025年18周'!N177</f>
        <v>#DIV/0!</v>
      </c>
      <c r="P177" s="78">
        <f>(SUMIFS(周检修业务统计数据!I:I,周检修业务统计数据!B:B,B177,周检修业务统计数据!C:C,"&lt;&gt;干箱")+SUMIFS(周检修业务统计数据!J:J,周检修业务统计数据!B:B,B177,周检修业务统计数据!C:C,"&lt;&gt;干箱"))*1.13++SUMIFS(周检修业务统计数据!L:L,周检修业务统计数据!B:B,B177,周检修业务统计数据!C:C,"&lt;&gt;干箱")*1.06</f>
        <v>0</v>
      </c>
      <c r="Q177" s="3"/>
      <c r="R177" s="3"/>
      <c r="S177" s="3">
        <f t="shared" si="41"/>
        <v>0</v>
      </c>
      <c r="T177" s="238">
        <f t="shared" si="38"/>
        <v>46</v>
      </c>
      <c r="U177" s="77">
        <f t="shared" si="39"/>
        <v>10612</v>
      </c>
      <c r="V177" s="77" t="e">
        <f t="shared" si="40"/>
        <v>#DIV/0!</v>
      </c>
      <c r="W177" s="6"/>
      <c r="X177" s="146"/>
      <c r="Y177" s="130"/>
      <c r="Z177" s="3"/>
      <c r="AA177" s="3"/>
      <c r="AB177" s="3"/>
      <c r="AC177" s="4"/>
    </row>
    <row r="178" spans="1:29">
      <c r="A178" s="20" t="s">
        <v>147</v>
      </c>
      <c r="B178" s="6" t="s">
        <v>169</v>
      </c>
      <c r="C178" s="6">
        <f>SUMIFS(周检修业务统计数据!E:E,周检修业务统计数据!B:B,B178,周检修业务统计数据!C:C,"干箱",周检修业务统计数据!D:D,"COS")</f>
        <v>311</v>
      </c>
      <c r="D178" s="6">
        <f>C178-'2025年18周'!C178</f>
        <v>33</v>
      </c>
      <c r="E178" s="75">
        <f>(SUMIFS(周检修业务统计数据!I:I,周检修业务统计数据!B:B,B178,周检修业务统计数据!C:C,"干箱",周检修业务统计数据!D:D,"COS")+SUMIFS(周检修业务统计数据!J:J,周检修业务统计数据!B:B,B178,周检修业务统计数据!C:C,"干箱",周检修业务统计数据!D:D,"COS"))*1.13</f>
        <v>69293.19</v>
      </c>
      <c r="F178" s="76">
        <f>(E178-'2025年18周'!E178)/'2025年18周'!E178</f>
        <v>0.0961</v>
      </c>
      <c r="G178" s="77">
        <f t="shared" si="35"/>
        <v>223</v>
      </c>
      <c r="H178" s="76">
        <f>(G178-'2025年18周'!G178)/'2025年18周'!G178</f>
        <v>-0.0176</v>
      </c>
      <c r="I178" s="6">
        <f>SUMIFS(周检修业务统计数据!L:L,周检修业务统计数据!B:B,B178,周检修业务统计数据!C:C,"干箱",周检修业务统计数据!D:D,"COS")*1.06</f>
        <v>0</v>
      </c>
      <c r="J178" s="6">
        <f>SUMIFS(周检修业务统计数据!E:E,周检修业务统计数据!B:B,B178,周检修业务统计数据!C:C,"干箱",周检修业务统计数据!D:D,"&lt;&gt;COS")</f>
        <v>0</v>
      </c>
      <c r="K178" s="6">
        <f>J178-'2025年18周'!J178</f>
        <v>0</v>
      </c>
      <c r="L178" s="75">
        <f>(SUMIFS(周检修业务统计数据!I:I,周检修业务统计数据!B:B,B178,周检修业务统计数据!C:C,"干箱",周检修业务统计数据!D:D,"&lt;&gt;COS")+SUMIFS(周检修业务统计数据!J:J,周检修业务统计数据!B:B,B178,周检修业务统计数据!C:C,"干箱",周检修业务统计数据!D:D,"&lt;&gt;COS"))*1.13++SUMIFS(周检修业务统计数据!L:L,周检修业务统计数据!B:B,B178,周检修业务统计数据!C:C,"干箱",周检修业务统计数据!D:D,"&lt;&gt;COS")*1.06</f>
        <v>0</v>
      </c>
      <c r="M178" s="76" t="e">
        <f>(L178-'2025年18周'!L178)/'2025年18周'!L178</f>
        <v>#DIV/0!</v>
      </c>
      <c r="N178" s="77" t="e">
        <f t="shared" si="36"/>
        <v>#DIV/0!</v>
      </c>
      <c r="O178" s="76" t="e">
        <f>(N178-'2025年18周'!N178)/'2025年18周'!N178</f>
        <v>#DIV/0!</v>
      </c>
      <c r="P178" s="78">
        <f>(SUMIFS(周检修业务统计数据!I:I,周检修业务统计数据!B:B,B178,周检修业务统计数据!C:C,"&lt;&gt;干箱")+SUMIFS(周检修业务统计数据!J:J,周检修业务统计数据!B:B,B178,周检修业务统计数据!C:C,"&lt;&gt;干箱"))*1.13++SUMIFS(周检修业务统计数据!L:L,周检修业务统计数据!B:B,B178,周检修业务统计数据!C:C,"&lt;&gt;干箱")*1.06</f>
        <v>0</v>
      </c>
      <c r="Q178" s="3"/>
      <c r="R178" s="3"/>
      <c r="S178" s="3">
        <f t="shared" si="41"/>
        <v>0</v>
      </c>
      <c r="T178" s="238">
        <f t="shared" si="38"/>
        <v>311</v>
      </c>
      <c r="U178" s="77">
        <f t="shared" si="39"/>
        <v>69293</v>
      </c>
      <c r="V178" s="77" t="e">
        <f t="shared" si="40"/>
        <v>#DIV/0!</v>
      </c>
      <c r="W178" s="6"/>
      <c r="X178" s="146"/>
      <c r="Y178" s="130"/>
      <c r="Z178" s="3"/>
      <c r="AA178" s="3"/>
      <c r="AB178" s="3"/>
      <c r="AC178" s="4"/>
    </row>
    <row r="179" spans="1:29">
      <c r="A179" s="20" t="s">
        <v>170</v>
      </c>
      <c r="B179" s="6" t="s">
        <v>171</v>
      </c>
      <c r="C179" s="6">
        <f>SUMIFS(周检修业务统计数据!E:E,周检修业务统计数据!B:B,B179,周检修业务统计数据!C:C,"干箱",周检修业务统计数据!D:D,"COS")</f>
        <v>55</v>
      </c>
      <c r="D179" s="6">
        <f>C179-'2025年18周'!C179</f>
        <v>23</v>
      </c>
      <c r="E179" s="75">
        <f>(SUMIFS(周检修业务统计数据!I:I,周检修业务统计数据!B:B,B179,周检修业务统计数据!C:C,"干箱",周检修业务统计数据!D:D,"COS")+SUMIFS(周检修业务统计数据!J:J,周检修业务统计数据!B:B,B179,周检修业务统计数据!C:C,"干箱",周检修业务统计数据!D:D,"COS"))*1.13</f>
        <v>18794.45</v>
      </c>
      <c r="F179" s="76">
        <f>(E179-'2025年18周'!E179)/'2025年18周'!E179</f>
        <v>1.1935</v>
      </c>
      <c r="G179" s="77">
        <f t="shared" si="35"/>
        <v>342</v>
      </c>
      <c r="H179" s="76">
        <f>(G179-'2025年18周'!G179)/'2025年18周'!G179</f>
        <v>0.2761</v>
      </c>
      <c r="I179" s="6">
        <f>SUMIFS(周检修业务统计数据!L:L,周检修业务统计数据!B:B,B179,周检修业务统计数据!C:C,"干箱",周检修业务统计数据!D:D,"COS")*1.06</f>
        <v>0</v>
      </c>
      <c r="J179" s="6">
        <f>SUMIFS(周检修业务统计数据!E:E,周检修业务统计数据!B:B,B179,周检修业务统计数据!C:C,"干箱",周检修业务统计数据!D:D,"&lt;&gt;COS")</f>
        <v>0</v>
      </c>
      <c r="K179" s="6">
        <f>J179-'2025年18周'!J179</f>
        <v>0</v>
      </c>
      <c r="L179" s="75">
        <f>(SUMIFS(周检修业务统计数据!I:I,周检修业务统计数据!B:B,B179,周检修业务统计数据!C:C,"干箱",周检修业务统计数据!D:D,"&lt;&gt;COS")+SUMIFS(周检修业务统计数据!J:J,周检修业务统计数据!B:B,B179,周检修业务统计数据!C:C,"干箱",周检修业务统计数据!D:D,"&lt;&gt;COS"))*1.13++SUMIFS(周检修业务统计数据!L:L,周检修业务统计数据!B:B,B179,周检修业务统计数据!C:C,"干箱",周检修业务统计数据!D:D,"&lt;&gt;COS")*1.06</f>
        <v>0</v>
      </c>
      <c r="M179" s="76" t="e">
        <f>(L179-'2025年18周'!L179)/'2025年18周'!L179</f>
        <v>#DIV/0!</v>
      </c>
      <c r="N179" s="77" t="e">
        <f t="shared" si="36"/>
        <v>#DIV/0!</v>
      </c>
      <c r="O179" s="76" t="e">
        <f>(N179-'2025年18周'!N179)/'2025年18周'!N179</f>
        <v>#DIV/0!</v>
      </c>
      <c r="P179" s="78">
        <f>(SUMIFS(周检修业务统计数据!I:I,周检修业务统计数据!B:B,B179,周检修业务统计数据!C:C,"&lt;&gt;干箱")+SUMIFS(周检修业务统计数据!J:J,周检修业务统计数据!B:B,B179,周检修业务统计数据!C:C,"&lt;&gt;干箱"))*1.13++SUMIFS(周检修业务统计数据!L:L,周检修业务统计数据!B:B,B179,周检修业务统计数据!C:C,"&lt;&gt;干箱")*1.06</f>
        <v>0</v>
      </c>
      <c r="Q179" s="3"/>
      <c r="R179" s="3"/>
      <c r="S179" s="3">
        <f t="shared" si="41"/>
        <v>0</v>
      </c>
      <c r="T179" s="238">
        <f t="shared" si="38"/>
        <v>55</v>
      </c>
      <c r="U179" s="77">
        <f t="shared" si="39"/>
        <v>18794</v>
      </c>
      <c r="V179" s="77" t="e">
        <f t="shared" si="40"/>
        <v>#DIV/0!</v>
      </c>
      <c r="W179" s="6"/>
      <c r="X179" s="146"/>
      <c r="Y179" s="130"/>
      <c r="Z179" s="3"/>
      <c r="AA179" s="3"/>
      <c r="AB179" s="3"/>
      <c r="AC179" s="4"/>
    </row>
    <row r="180" spans="1:29">
      <c r="A180" s="20" t="s">
        <v>172</v>
      </c>
      <c r="B180" s="6" t="s">
        <v>173</v>
      </c>
      <c r="C180" s="6">
        <f>SUMIFS(周检修业务统计数据!E:E,周检修业务统计数据!B:B,B180,周检修业务统计数据!C:C,"干箱",周检修业务统计数据!D:D,"COS")</f>
        <v>0</v>
      </c>
      <c r="D180" s="6">
        <f>C180-'2025年18周'!C180</f>
        <v>0</v>
      </c>
      <c r="E180" s="75">
        <f>(SUMIFS(周检修业务统计数据!I:I,周检修业务统计数据!B:B,B180,周检修业务统计数据!C:C,"干箱",周检修业务统计数据!D:D,"COS")+SUMIFS(周检修业务统计数据!J:J,周检修业务统计数据!B:B,B180,周检修业务统计数据!C:C,"干箱",周检修业务统计数据!D:D,"COS"))*1.13</f>
        <v>0</v>
      </c>
      <c r="F180" s="76" t="e">
        <f>(E180-'2025年18周'!E180)/'2025年18周'!E180</f>
        <v>#DIV/0!</v>
      </c>
      <c r="G180" s="77" t="e">
        <f t="shared" si="35"/>
        <v>#DIV/0!</v>
      </c>
      <c r="H180" s="76" t="e">
        <f>(G180-'2025年18周'!G180)/'2025年18周'!G180</f>
        <v>#DIV/0!</v>
      </c>
      <c r="I180" s="6">
        <f>SUMIFS(周检修业务统计数据!L:L,周检修业务统计数据!B:B,B180,周检修业务统计数据!C:C,"干箱",周检修业务统计数据!D:D,"COS")*1.06</f>
        <v>0</v>
      </c>
      <c r="J180" s="6">
        <f>SUMIFS(周检修业务统计数据!E:E,周检修业务统计数据!B:B,B180,周检修业务统计数据!C:C,"干箱",周检修业务统计数据!D:D,"&lt;&gt;COS")</f>
        <v>23</v>
      </c>
      <c r="K180" s="6">
        <f>J180-'2025年18周'!J180</f>
        <v>-51</v>
      </c>
      <c r="L180" s="75">
        <f>(SUMIFS(周检修业务统计数据!I:I,周检修业务统计数据!B:B,B180,周检修业务统计数据!C:C,"干箱",周检修业务统计数据!D:D,"&lt;&gt;COS")+SUMIFS(周检修业务统计数据!J:J,周检修业务统计数据!B:B,B180,周检修业务统计数据!C:C,"干箱",周检修业务统计数据!D:D,"&lt;&gt;COS"))*1.13++SUMIFS(周检修业务统计数据!L:L,周检修业务统计数据!B:B,B180,周检修业务统计数据!C:C,"干箱",周检修业务统计数据!D:D,"&lt;&gt;COS")*1.06</f>
        <v>6095.59</v>
      </c>
      <c r="M180" s="76">
        <f>(L180-'2025年18周'!L180)/'2025年18周'!L180</f>
        <v>-0.5817</v>
      </c>
      <c r="N180" s="77">
        <f t="shared" si="36"/>
        <v>265</v>
      </c>
      <c r="O180" s="76">
        <f>(N180-'2025年18周'!N180)/'2025年18周'!N180</f>
        <v>0.3452</v>
      </c>
      <c r="P180" s="78">
        <f>(SUMIFS(周检修业务统计数据!I:I,周检修业务统计数据!B:B,B180,周检修业务统计数据!C:C,"&lt;&gt;干箱")+SUMIFS(周检修业务统计数据!J:J,周检修业务统计数据!B:B,B180,周检修业务统计数据!C:C,"&lt;&gt;干箱"))*1.13++SUMIFS(周检修业务统计数据!L:L,周检修业务统计数据!B:B,B180,周检修业务统计数据!C:C,"&lt;&gt;干箱")*1.06</f>
        <v>6993.33</v>
      </c>
      <c r="Q180" s="3">
        <v>390</v>
      </c>
      <c r="R180" s="3"/>
      <c r="S180" s="3">
        <f t="shared" si="41"/>
        <v>0</v>
      </c>
      <c r="T180" s="238">
        <f t="shared" si="38"/>
        <v>23</v>
      </c>
      <c r="U180" s="77">
        <f t="shared" si="39"/>
        <v>13479</v>
      </c>
      <c r="V180" s="77" t="e">
        <f t="shared" si="40"/>
        <v>#DIV/0!</v>
      </c>
      <c r="W180" s="6"/>
      <c r="X180" s="146"/>
      <c r="Y180" s="130"/>
      <c r="Z180" s="3"/>
      <c r="AA180" s="3"/>
      <c r="AB180" s="3"/>
      <c r="AC180" s="4"/>
    </row>
    <row r="181" spans="1:29">
      <c r="A181" s="20" t="s">
        <v>174</v>
      </c>
      <c r="B181" s="6" t="s">
        <v>175</v>
      </c>
      <c r="C181" s="6">
        <f>SUMIFS(周检修业务统计数据!E:E,周检修业务统计数据!B:B,B181,周检修业务统计数据!C:C,"干箱",周检修业务统计数据!D:D,"COS")</f>
        <v>0</v>
      </c>
      <c r="D181" s="6">
        <f>C181-'2025年18周'!C181</f>
        <v>0</v>
      </c>
      <c r="E181" s="75">
        <f>(SUMIFS(周检修业务统计数据!I:I,周检修业务统计数据!B:B,B181,周检修业务统计数据!C:C,"干箱",周检修业务统计数据!D:D,"COS")+SUMIFS(周检修业务统计数据!J:J,周检修业务统计数据!B:B,B181,周检修业务统计数据!C:C,"干箱",周检修业务统计数据!D:D,"COS"))*1.13</f>
        <v>0</v>
      </c>
      <c r="F181" s="76" t="e">
        <f>(E181-'2025年18周'!E181)/'2025年18周'!E181</f>
        <v>#DIV/0!</v>
      </c>
      <c r="G181" s="77" t="e">
        <f t="shared" si="35"/>
        <v>#DIV/0!</v>
      </c>
      <c r="H181" s="76" t="e">
        <f>(G181-'2025年18周'!G181)/'2025年18周'!G181</f>
        <v>#DIV/0!</v>
      </c>
      <c r="I181" s="6">
        <f>SUMIFS(周检修业务统计数据!L:L,周检修业务统计数据!B:B,B181,周检修业务统计数据!C:C,"干箱",周检修业务统计数据!D:D,"COS")*1.06</f>
        <v>0</v>
      </c>
      <c r="J181" s="6">
        <f>SUMIFS(周检修业务统计数据!E:E,周检修业务统计数据!B:B,B181,周检修业务统计数据!C:C,"干箱",周检修业务统计数据!D:D,"&lt;&gt;COS")</f>
        <v>0</v>
      </c>
      <c r="K181" s="6">
        <f>J181-'2025年18周'!J181</f>
        <v>0</v>
      </c>
      <c r="L181" s="75">
        <f>(SUMIFS(周检修业务统计数据!I:I,周检修业务统计数据!B:B,B181,周检修业务统计数据!C:C,"干箱",周检修业务统计数据!D:D,"&lt;&gt;COS")+SUMIFS(周检修业务统计数据!J:J,周检修业务统计数据!B:B,B181,周检修业务统计数据!C:C,"干箱",周检修业务统计数据!D:D,"&lt;&gt;COS"))*1.13++SUMIFS(周检修业务统计数据!L:L,周检修业务统计数据!B:B,B181,周检修业务统计数据!C:C,"干箱",周检修业务统计数据!D:D,"&lt;&gt;COS")*1.06</f>
        <v>0</v>
      </c>
      <c r="M181" s="76" t="e">
        <f>(L181-'2025年18周'!L181)/'2025年18周'!L181</f>
        <v>#DIV/0!</v>
      </c>
      <c r="N181" s="77" t="e">
        <f t="shared" si="36"/>
        <v>#DIV/0!</v>
      </c>
      <c r="O181" s="76" t="e">
        <f>(N181-'2025年18周'!N181)/'2025年18周'!N181</f>
        <v>#DIV/0!</v>
      </c>
      <c r="P181" s="78">
        <f>(SUMIFS(周检修业务统计数据!I:I,周检修业务统计数据!B:B,B181,周检修业务统计数据!C:C,"&lt;&gt;干箱")+SUMIFS(周检修业务统计数据!J:J,周检修业务统计数据!B:B,B181,周检修业务统计数据!C:C,"&lt;&gt;干箱"))*1.13++SUMIFS(周检修业务统计数据!L:L,周检修业务统计数据!B:B,B181,周检修业务统计数据!C:C,"&lt;&gt;干箱")*1.06</f>
        <v>0</v>
      </c>
      <c r="Q181" s="3"/>
      <c r="R181" s="3"/>
      <c r="S181" s="3">
        <f t="shared" si="41"/>
        <v>0</v>
      </c>
      <c r="T181" s="238">
        <f t="shared" si="38"/>
        <v>0</v>
      </c>
      <c r="U181" s="77">
        <f t="shared" si="39"/>
        <v>0</v>
      </c>
      <c r="V181" s="77" t="e">
        <f t="shared" si="40"/>
        <v>#DIV/0!</v>
      </c>
      <c r="W181" s="6"/>
      <c r="X181" s="146"/>
      <c r="Y181" s="130"/>
      <c r="Z181" s="3"/>
      <c r="AA181" s="3"/>
      <c r="AB181" s="3"/>
      <c r="AC181" s="4"/>
    </row>
    <row r="182" spans="1:29">
      <c r="A182" s="20" t="s">
        <v>165</v>
      </c>
      <c r="B182" s="6" t="s">
        <v>176</v>
      </c>
      <c r="C182" s="6">
        <f>SUMIFS(周检修业务统计数据!E:E,周检修业务统计数据!B:B,B182,周检修业务统计数据!C:C,"干箱",周检修业务统计数据!D:D,"COS")</f>
        <v>38</v>
      </c>
      <c r="D182" s="6">
        <f>C182-'2025年18周'!C182</f>
        <v>-105</v>
      </c>
      <c r="E182" s="75">
        <f>(SUMIFS(周检修业务统计数据!I:I,周检修业务统计数据!B:B,B182,周检修业务统计数据!C:C,"干箱",周检修业务统计数据!D:D,"COS")+SUMIFS(周检修业务统计数据!J:J,周检修业务统计数据!B:B,B182,周检修业务统计数据!C:C,"干箱",周检修业务统计数据!D:D,"COS"))*1.13</f>
        <v>3130.64</v>
      </c>
      <c r="F182" s="76">
        <f>(E182-'2025年18周'!E182)/'2025年18周'!E182</f>
        <v>-0.7642</v>
      </c>
      <c r="G182" s="77">
        <f t="shared" si="35"/>
        <v>82</v>
      </c>
      <c r="H182" s="76">
        <f>(G182-'2025年18周'!G182)/'2025年18周'!G182</f>
        <v>-0.1183</v>
      </c>
      <c r="I182" s="6">
        <f>SUMIFS(周检修业务统计数据!L:L,周检修业务统计数据!B:B,B182,周检修业务统计数据!C:C,"干箱",周检修业务统计数据!D:D,"COS")*1.06</f>
        <v>2150.104</v>
      </c>
      <c r="J182" s="6">
        <f>SUMIFS(周检修业务统计数据!E:E,周检修业务统计数据!B:B,B182,周检修业务统计数据!C:C,"干箱",周检修业务统计数据!D:D,"&lt;&gt;COS")</f>
        <v>0</v>
      </c>
      <c r="K182" s="6">
        <f>J182-'2025年18周'!J182</f>
        <v>0</v>
      </c>
      <c r="L182" s="75">
        <f>(SUMIFS(周检修业务统计数据!I:I,周检修业务统计数据!B:B,B182,周检修业务统计数据!C:C,"干箱",周检修业务统计数据!D:D,"&lt;&gt;COS")+SUMIFS(周检修业务统计数据!J:J,周检修业务统计数据!B:B,B182,周检修业务统计数据!C:C,"干箱",周检修业务统计数据!D:D,"&lt;&gt;COS"))*1.13++SUMIFS(周检修业务统计数据!L:L,周检修业务统计数据!B:B,B182,周检修业务统计数据!C:C,"干箱",周检修业务统计数据!D:D,"&lt;&gt;COS")*1.06</f>
        <v>0</v>
      </c>
      <c r="M182" s="76" t="e">
        <f>(L182-'2025年18周'!L182)/'2025年18周'!L182</f>
        <v>#DIV/0!</v>
      </c>
      <c r="N182" s="77" t="e">
        <f t="shared" si="36"/>
        <v>#DIV/0!</v>
      </c>
      <c r="O182" s="76" t="e">
        <f>(N182-'2025年18周'!N182)/'2025年18周'!N182</f>
        <v>#DIV/0!</v>
      </c>
      <c r="P182" s="78">
        <f>(SUMIFS(周检修业务统计数据!I:I,周检修业务统计数据!B:B,B182,周检修业务统计数据!C:C,"&lt;&gt;干箱")+SUMIFS(周检修业务统计数据!J:J,周检修业务统计数据!B:B,B182,周检修业务统计数据!C:C,"&lt;&gt;干箱"))*1.13++SUMIFS(周检修业务统计数据!L:L,周检修业务统计数据!B:B,B182,周检修业务统计数据!C:C,"&lt;&gt;干箱")*1.06</f>
        <v>0</v>
      </c>
      <c r="Q182" s="3"/>
      <c r="R182" s="3"/>
      <c r="S182" s="3">
        <f t="shared" si="41"/>
        <v>0</v>
      </c>
      <c r="T182" s="238">
        <f t="shared" si="38"/>
        <v>38</v>
      </c>
      <c r="U182" s="77">
        <f t="shared" si="39"/>
        <v>5281</v>
      </c>
      <c r="V182" s="77" t="e">
        <f t="shared" si="40"/>
        <v>#DIV/0!</v>
      </c>
      <c r="W182" s="6"/>
      <c r="X182" s="146"/>
      <c r="Y182" s="130"/>
      <c r="Z182" s="3"/>
      <c r="AA182" s="3"/>
      <c r="AB182" s="3"/>
      <c r="AC182" s="4" t="s">
        <v>238</v>
      </c>
    </row>
    <row r="183" spans="1:29">
      <c r="A183" s="3"/>
      <c r="B183" s="6"/>
      <c r="C183" s="6"/>
      <c r="D183" s="6"/>
      <c r="E183" s="75"/>
      <c r="F183" s="76"/>
      <c r="G183" s="77"/>
      <c r="H183" s="76"/>
      <c r="I183" s="6"/>
      <c r="J183" s="6"/>
      <c r="K183" s="6"/>
      <c r="L183" s="75"/>
      <c r="M183" s="76"/>
      <c r="N183" s="77"/>
      <c r="O183" s="76"/>
      <c r="P183" s="78"/>
      <c r="Q183" s="3"/>
      <c r="R183" s="3"/>
      <c r="S183" s="3"/>
      <c r="T183" s="238"/>
      <c r="U183" s="77"/>
      <c r="V183" s="77"/>
      <c r="W183" s="6"/>
      <c r="X183" s="3"/>
      <c r="Y183" s="130"/>
      <c r="Z183" s="3"/>
      <c r="AA183" s="3"/>
      <c r="AB183" s="3"/>
      <c r="AC183" s="6"/>
    </row>
    <row r="186" ht="21" customHeight="1" spans="1:29">
      <c r="A186" s="32" t="s">
        <v>180</v>
      </c>
      <c r="B186" s="33"/>
      <c r="C186" s="32" t="s">
        <v>181</v>
      </c>
      <c r="D186" s="73"/>
      <c r="E186" s="73"/>
      <c r="F186" s="73"/>
      <c r="G186" s="73"/>
      <c r="H186" s="73"/>
      <c r="I186" s="33"/>
      <c r="J186" s="22" t="s">
        <v>182</v>
      </c>
      <c r="K186" s="22"/>
      <c r="L186" s="22"/>
      <c r="M186" s="22"/>
      <c r="N186" s="22"/>
      <c r="O186" s="22"/>
      <c r="P186" s="32" t="s">
        <v>183</v>
      </c>
      <c r="Q186" s="73"/>
      <c r="R186" s="73"/>
      <c r="S186" s="33"/>
      <c r="T186" s="22" t="s">
        <v>184</v>
      </c>
      <c r="U186" s="22"/>
      <c r="V186" s="22"/>
      <c r="W186" s="22"/>
    </row>
    <row r="187" s="165" customFormat="1" ht="32.1" customHeight="1" spans="1:29">
      <c r="A187" s="32" t="s">
        <v>187</v>
      </c>
      <c r="B187" s="33"/>
      <c r="C187" s="22" t="s">
        <v>188</v>
      </c>
      <c r="D187" s="22" t="s">
        <v>189</v>
      </c>
      <c r="E187" s="179" t="s">
        <v>190</v>
      </c>
      <c r="F187" s="22" t="s">
        <v>189</v>
      </c>
      <c r="G187" s="179" t="s">
        <v>191</v>
      </c>
      <c r="H187" s="22" t="s">
        <v>189</v>
      </c>
      <c r="I187" s="22" t="s">
        <v>192</v>
      </c>
      <c r="J187" s="22" t="s">
        <v>188</v>
      </c>
      <c r="K187" s="22" t="s">
        <v>189</v>
      </c>
      <c r="L187" s="179" t="s">
        <v>190</v>
      </c>
      <c r="M187" s="179" t="s">
        <v>189</v>
      </c>
      <c r="N187" s="179" t="s">
        <v>191</v>
      </c>
      <c r="O187" s="22" t="s">
        <v>189</v>
      </c>
      <c r="P187" s="244" t="s">
        <v>193</v>
      </c>
      <c r="Q187" s="167" t="s">
        <v>194</v>
      </c>
      <c r="R187" s="167" t="s">
        <v>195</v>
      </c>
      <c r="S187" s="245" t="s">
        <v>196</v>
      </c>
      <c r="T187" s="189" t="s">
        <v>239</v>
      </c>
      <c r="U187" s="188" t="s">
        <v>240</v>
      </c>
      <c r="V187" s="189" t="s">
        <v>241</v>
      </c>
      <c r="W187" s="188" t="s">
        <v>242</v>
      </c>
      <c r="X187" s="246"/>
      <c r="Y187" s="246"/>
      <c r="Z187" s="246"/>
      <c r="AA187" s="246"/>
      <c r="AB187" s="246"/>
    </row>
    <row r="188" ht="18" customHeight="1" spans="1:29">
      <c r="A188" s="247" t="s">
        <v>243</v>
      </c>
      <c r="B188" s="6" t="s">
        <v>10</v>
      </c>
      <c r="C188" s="8">
        <f>SUMIFS(周检修业务统计数据!E:E,周检修业务统计数据!B:B,B188,周检修业务统计数据!C:C,"干箱",周检修业务统计数据!D:D,"COS")</f>
        <v>60</v>
      </c>
      <c r="D188" s="6">
        <f>C188-'2025年18周'!C188</f>
        <v>-11</v>
      </c>
      <c r="E188" s="80">
        <f>(SUMIFS(周检修业务统计数据!I:I,周检修业务统计数据!B:B,B188,周检修业务统计数据!C:C,"干箱",周检修业务统计数据!D:D,"COS")+SUMIFS(周检修业务统计数据!J:J,周检修业务统计数据!B:B,B188,周检修业务统计数据!C:C,"干箱",周检修业务统计数据!D:D,"COS"))*1.13</f>
        <v>21637</v>
      </c>
      <c r="F188" s="76">
        <f>(E188-'2025年18周'!E188)/'2025年18周'!E188</f>
        <v>0.0249</v>
      </c>
      <c r="G188" s="77">
        <f t="shared" ref="G188:G196" si="42">E188/C188</f>
        <v>361</v>
      </c>
      <c r="H188" s="76">
        <f>(G188-'2025年18周'!G188)/'2025年18周'!G188</f>
        <v>0.2155</v>
      </c>
      <c r="I188" s="8">
        <f>SUMIFS(周检修业务统计数据!L:L,周检修业务统计数据!B:B,B188,周检修业务统计数据!C:C,"干箱",周检修业务统计数据!D:D,"COS")*1.06</f>
        <v>0</v>
      </c>
      <c r="J188" s="8">
        <f>SUMIFS(周检修业务统计数据!E:E,周检修业务统计数据!B:B,B188,周检修业务统计数据!C:C,"干箱",周检修业务统计数据!D:D,"&lt;&gt;COS")</f>
        <v>40</v>
      </c>
      <c r="K188" s="6">
        <f>J188-'2025年18周'!J188</f>
        <v>-355</v>
      </c>
      <c r="L188" s="80">
        <f>(SUMIFS(周检修业务统计数据!I:I,周检修业务统计数据!B:B,B188,周检修业务统计数据!C:C,"干箱",周检修业务统计数据!D:D,"&lt;&gt;COS")+SUMIFS(周检修业务统计数据!J:J,周检修业务统计数据!B:B,B188,周检修业务统计数据!C:C,"干箱",周检修业务统计数据!D:D,"&lt;&gt;COS"))*1.13++SUMIFS(周检修业务统计数据!L:L,周检修业务统计数据!B:B,B188,周检修业务统计数据!C:C,"干箱",周检修业务统计数据!D:D,"&lt;&gt;COS")*1.06</f>
        <v>12624.93</v>
      </c>
      <c r="M188" s="76">
        <f>(L188-'2025年18周'!L188)/'2025年18周'!L188</f>
        <v>-0.7379</v>
      </c>
      <c r="N188" s="77">
        <f t="shared" ref="N188:N196" si="43">L188/J188</f>
        <v>316</v>
      </c>
      <c r="O188" s="76">
        <f>(N188-'2025年18周'!N188)/'2025年18周'!N188</f>
        <v>1.5902</v>
      </c>
      <c r="P188" s="83">
        <f>(SUMIFS(周检修业务统计数据!I:I,周检修业务统计数据!B:B,B188,周检修业务统计数据!C:C,"&lt;&gt;干箱")+SUMIFS(周检修业务统计数据!J:J,周检修业务统计数据!B:B,B188,周检修业务统计数据!C:C,"&lt;&gt;干箱"))*1.13++SUMIFS(周检修业务统计数据!L:L,周检修业务统计数据!B:B,B188,周检修业务统计数据!C:C,"&lt;&gt;干箱")*1.06</f>
        <v>728.33</v>
      </c>
      <c r="Q188" s="3">
        <v>48988</v>
      </c>
      <c r="R188" s="3"/>
      <c r="S188" s="53"/>
      <c r="T188" s="168">
        <f>C188+J188</f>
        <v>100</v>
      </c>
      <c r="U188" s="77">
        <f t="shared" ref="U188:U195" si="44">E188+L188+I188+P188+Q188+R188+S188</f>
        <v>83978</v>
      </c>
      <c r="V188" s="76">
        <f>(T188-'2025年18周'!T188)/'2025年18周'!T188</f>
        <v>-0.7854</v>
      </c>
      <c r="W188" s="76">
        <f>(U188-'2025年18周'!U188)/'2025年18周'!U188</f>
        <v>-0.4557</v>
      </c>
    </row>
    <row r="189" ht="18" customHeight="1" spans="1:29">
      <c r="A189" s="248"/>
      <c r="B189" s="6" t="s">
        <v>15</v>
      </c>
      <c r="C189" s="8">
        <f>SUMIFS(周检修业务统计数据!E:E,周检修业务统计数据!B:B,B189,周检修业务统计数据!C:C,"干箱",周检修业务统计数据!D:D,"COS")</f>
        <v>174</v>
      </c>
      <c r="D189" s="6">
        <f>C189-'2025年18周'!C189</f>
        <v>-67</v>
      </c>
      <c r="E189" s="80">
        <f>(SUMIFS(周检修业务统计数据!I:I,周检修业务统计数据!B:B,B189,周检修业务统计数据!C:C,"干箱",周检修业务统计数据!D:D,"COS")+SUMIFS(周检修业务统计数据!J:J,周检修业务统计数据!B:B,B189,周检修业务统计数据!C:C,"干箱",周检修业务统计数据!D:D,"COS"))*1.13</f>
        <v>74503.25</v>
      </c>
      <c r="F189" s="76">
        <f>(E189-'2025年18周'!E189)/'2025年18周'!E189</f>
        <v>-0.2415</v>
      </c>
      <c r="G189" s="77">
        <f t="shared" si="42"/>
        <v>428</v>
      </c>
      <c r="H189" s="76">
        <f>(G189-'2025年18周'!G189)/'2025年18周'!G189</f>
        <v>0.049</v>
      </c>
      <c r="I189" s="8">
        <f>SUMIFS(周检修业务统计数据!L:L,周检修业务统计数据!B:B,B189,周检修业务统计数据!C:C,"干箱",周检修业务统计数据!D:D,"COS")*1.06</f>
        <v>0</v>
      </c>
      <c r="J189" s="8">
        <f>SUMIFS(周检修业务统计数据!E:E,周检修业务统计数据!B:B,B189,周检修业务统计数据!C:C,"干箱",周检修业务统计数据!D:D,"&lt;&gt;COS")</f>
        <v>147</v>
      </c>
      <c r="K189" s="6">
        <f>J189-'2025年18周'!J189</f>
        <v>-108</v>
      </c>
      <c r="L189" s="80">
        <f>(SUMIFS(周检修业务统计数据!I:I,周检修业务统计数据!B:B,B189,周检修业务统计数据!C:C,"干箱",周检修业务统计数据!D:D,"&lt;&gt;COS")+SUMIFS(周检修业务统计数据!J:J,周检修业务统计数据!B:B,B189,周检修业务统计数据!C:C,"干箱",周检修业务统计数据!D:D,"&lt;&gt;COS"))*1.13++SUMIFS(周检修业务统计数据!L:L,周检修业务统计数据!B:B,B189,周检修业务统计数据!C:C,"干箱",周检修业务统计数据!D:D,"&lt;&gt;COS")*1.06</f>
        <v>23804.4</v>
      </c>
      <c r="M189" s="76">
        <f>(L189-'2025年18周'!L189)/'2025年18周'!L189</f>
        <v>-0.5441</v>
      </c>
      <c r="N189" s="77">
        <f t="shared" si="43"/>
        <v>162</v>
      </c>
      <c r="O189" s="76">
        <f>(N189-'2025年18周'!N189)/'2025年18周'!N189</f>
        <v>-0.2098</v>
      </c>
      <c r="P189" s="83">
        <f>(SUMIFS(周检修业务统计数据!I:I,周检修业务统计数据!B:B,B189,周检修业务统计数据!C:C,"&lt;&gt;干箱")+SUMIFS(周检修业务统计数据!J:J,周检修业务统计数据!B:B,B189,周检修业务统计数据!C:C,"&lt;&gt;干箱"))*1.13++SUMIFS(周检修业务统计数据!L:L,周检修业务统计数据!B:B,B189,周检修业务统计数据!C:C,"&lt;&gt;干箱")*1.06</f>
        <v>0</v>
      </c>
      <c r="Q189" s="3">
        <v>78519.5</v>
      </c>
      <c r="R189" s="3"/>
      <c r="S189" s="53"/>
      <c r="T189" s="168">
        <f t="shared" ref="T189:T195" si="45">C189+J189</f>
        <v>321</v>
      </c>
      <c r="U189" s="77">
        <f t="shared" si="44"/>
        <v>176827</v>
      </c>
      <c r="V189" s="76">
        <f>(T189-'2025年18周'!T189)/'2025年18周'!T189</f>
        <v>-0.3528</v>
      </c>
      <c r="W189" s="76">
        <f>(U189-'2025年18周'!U189)/'2025年18周'!U189</f>
        <v>-0.3321</v>
      </c>
    </row>
    <row r="190" ht="18" customHeight="1" spans="1:29">
      <c r="A190" s="248"/>
      <c r="B190" s="6" t="s">
        <v>17</v>
      </c>
      <c r="C190" s="8">
        <f>SUMIFS(周检修业务统计数据!E:E,周检修业务统计数据!B:B,B190,周检修业务统计数据!C:C,"干箱",周检修业务统计数据!D:D,"COS")</f>
        <v>178</v>
      </c>
      <c r="D190" s="6">
        <f>C190-'2025年18周'!C190</f>
        <v>-144</v>
      </c>
      <c r="E190" s="80">
        <f>(SUMIFS(周检修业务统计数据!I:I,周检修业务统计数据!B:B,B190,周检修业务统计数据!C:C,"干箱",周检修业务统计数据!D:D,"COS")+SUMIFS(周检修业务统计数据!J:J,周检修业务统计数据!B:B,B190,周检修业务统计数据!C:C,"干箱",周检修业务统计数据!D:D,"COS"))*1.13</f>
        <v>53971.11</v>
      </c>
      <c r="F190" s="76">
        <f>(E190-'2025年18周'!E190)/'2025年18周'!E190</f>
        <v>-0.526</v>
      </c>
      <c r="G190" s="77">
        <f t="shared" si="42"/>
        <v>303</v>
      </c>
      <c r="H190" s="76">
        <f>(G190-'2025年18周'!G190)/'2025年18周'!G190</f>
        <v>-0.1441</v>
      </c>
      <c r="I190" s="8">
        <f>SUMIFS(周检修业务统计数据!L:L,周检修业务统计数据!B:B,B190,周检修业务统计数据!C:C,"干箱",周检修业务统计数据!D:D,"COS")*1.06</f>
        <v>0</v>
      </c>
      <c r="J190" s="8">
        <f>SUMIFS(周检修业务统计数据!E:E,周检修业务统计数据!B:B,B190,周检修业务统计数据!C:C,"干箱",周检修业务统计数据!D:D,"&lt;&gt;COS")</f>
        <v>64</v>
      </c>
      <c r="K190" s="6">
        <f>J190-'2025年18周'!J190</f>
        <v>-66</v>
      </c>
      <c r="L190" s="80">
        <f>(SUMIFS(周检修业务统计数据!I:I,周检修业务统计数据!B:B,B190,周检修业务统计数据!C:C,"干箱",周检修业务统计数据!D:D,"&lt;&gt;COS")+SUMIFS(周检修业务统计数据!J:J,周检修业务统计数据!B:B,B190,周检修业务统计数据!C:C,"干箱",周检修业务统计数据!D:D,"&lt;&gt;COS"))*1.13++SUMIFS(周检修业务统计数据!L:L,周检修业务统计数据!B:B,B190,周检修业务统计数据!C:C,"干箱",周检修业务统计数据!D:D,"&lt;&gt;COS")*1.06</f>
        <v>17920.62</v>
      </c>
      <c r="M190" s="76">
        <f>(L190-'2025年18周'!L190)/'2025年18周'!L190</f>
        <v>-0.6122</v>
      </c>
      <c r="N190" s="77">
        <f t="shared" si="43"/>
        <v>280</v>
      </c>
      <c r="O190" s="76">
        <f>(N190-'2025年18周'!N190)/'2025年18周'!N190</f>
        <v>-0.2113</v>
      </c>
      <c r="P190" s="83">
        <f>(SUMIFS(周检修业务统计数据!I:I,周检修业务统计数据!B:B,B190,周检修业务统计数据!C:C,"&lt;&gt;干箱")+SUMIFS(周检修业务统计数据!J:J,周检修业务统计数据!B:B,B190,周检修业务统计数据!C:C,"&lt;&gt;干箱"))*1.13++SUMIFS(周检修业务统计数据!L:L,周检修业务统计数据!B:B,B190,周检修业务统计数据!C:C,"&lt;&gt;干箱")*1.06</f>
        <v>1190.32</v>
      </c>
      <c r="Q190" s="3">
        <v>14189.5</v>
      </c>
      <c r="R190" s="3">
        <v>120</v>
      </c>
      <c r="S190" s="53"/>
      <c r="T190" s="168">
        <f t="shared" si="45"/>
        <v>242</v>
      </c>
      <c r="U190" s="77">
        <f t="shared" si="44"/>
        <v>87392</v>
      </c>
      <c r="V190" s="76">
        <f>(T190-'2025年18周'!T190)/'2025年18周'!T190</f>
        <v>-0.4646</v>
      </c>
      <c r="W190" s="76">
        <f>(U190-'2025年18周'!U190)/'2025年18周'!U190</f>
        <v>-0.5094</v>
      </c>
    </row>
    <row r="191" ht="18" customHeight="1" spans="1:29">
      <c r="A191" s="248"/>
      <c r="B191" s="6" t="s">
        <v>47</v>
      </c>
      <c r="C191" s="8">
        <f>SUMIFS(周检修业务统计数据!E:E,周检修业务统计数据!B:B,B191,周检修业务统计数据!C:C,"干箱",周检修业务统计数据!D:D,"COS")</f>
        <v>291</v>
      </c>
      <c r="D191" s="6">
        <f>C191-'2025年18周'!C191</f>
        <v>-336</v>
      </c>
      <c r="E191" s="80">
        <f>(SUMIFS(周检修业务统计数据!I:I,周检修业务统计数据!B:B,B191,周检修业务统计数据!C:C,"干箱",周检修业务统计数据!D:D,"COS")+SUMIFS(周检修业务统计数据!J:J,周检修业务统计数据!B:B,B191,周检修业务统计数据!C:C,"干箱",周检修业务统计数据!D:D,"COS"))*1.13</f>
        <v>89546.05</v>
      </c>
      <c r="F191" s="76">
        <f>(E191-'2025年18周'!E191)/'2025年18周'!E191</f>
        <v>-0.6275</v>
      </c>
      <c r="G191" s="77">
        <f t="shared" si="42"/>
        <v>308</v>
      </c>
      <c r="H191" s="76">
        <f>(G191-'2025年18周'!G191)/'2025年18周'!G191</f>
        <v>-0.1958</v>
      </c>
      <c r="I191" s="8">
        <f>SUMIFS(周检修业务统计数据!L:L,周检修业务统计数据!B:B,B191,周检修业务统计数据!C:C,"干箱",周检修业务统计数据!D:D,"COS")*1.06</f>
        <v>0</v>
      </c>
      <c r="J191" s="8">
        <f>SUMIFS(周检修业务统计数据!E:E,周检修业务统计数据!B:B,B191,周检修业务统计数据!C:C,"干箱",周检修业务统计数据!D:D,"&lt;&gt;COS")</f>
        <v>0</v>
      </c>
      <c r="K191" s="6">
        <f>J191-'2025年18周'!J191</f>
        <v>0</v>
      </c>
      <c r="L191" s="80">
        <f>(SUMIFS(周检修业务统计数据!I:I,周检修业务统计数据!B:B,B191,周检修业务统计数据!C:C,"干箱",周检修业务统计数据!D:D,"&lt;&gt;COS")+SUMIFS(周检修业务统计数据!J:J,周检修业务统计数据!B:B,B191,周检修业务统计数据!C:C,"干箱",周检修业务统计数据!D:D,"&lt;&gt;COS"))*1.13++SUMIFS(周检修业务统计数据!L:L,周检修业务统计数据!B:B,B191,周检修业务统计数据!C:C,"干箱",周检修业务统计数据!D:D,"&lt;&gt;COS")*1.06</f>
        <v>0</v>
      </c>
      <c r="M191" s="76" t="e">
        <f>(L191-'2025年18周'!L191)/'2025年18周'!L191</f>
        <v>#DIV/0!</v>
      </c>
      <c r="N191" s="77" t="e">
        <f t="shared" si="43"/>
        <v>#DIV/0!</v>
      </c>
      <c r="O191" s="76" t="e">
        <f>(N191-'2025年18周'!N191)/'2025年18周'!N191</f>
        <v>#DIV/0!</v>
      </c>
      <c r="P191" s="83">
        <f>(SUMIFS(周检修业务统计数据!I:I,周检修业务统计数据!B:B,B191,周检修业务统计数据!C:C,"&lt;&gt;干箱")+SUMIFS(周检修业务统计数据!J:J,周检修业务统计数据!B:B,B191,周检修业务统计数据!C:C,"&lt;&gt;干箱"))*1.13++SUMIFS(周检修业务统计数据!L:L,周检修业务统计数据!B:B,B191,周检修业务统计数据!C:C,"&lt;&gt;干箱")*1.06</f>
        <v>0</v>
      </c>
      <c r="Q191" s="61">
        <v>7155.66</v>
      </c>
      <c r="R191" s="3">
        <v>10505</v>
      </c>
      <c r="S191" s="53"/>
      <c r="T191" s="168">
        <f t="shared" si="45"/>
        <v>291</v>
      </c>
      <c r="U191" s="77">
        <f t="shared" si="44"/>
        <v>107207</v>
      </c>
      <c r="V191" s="76">
        <f>(T191-'2025年18周'!T191)/'2025年18周'!T191</f>
        <v>-0.5359</v>
      </c>
      <c r="W191" s="76">
        <f>(U191-'2025年18周'!U191)/'2025年18周'!U191</f>
        <v>-0.6166</v>
      </c>
    </row>
    <row r="192" ht="18" customHeight="1" spans="1:29">
      <c r="A192" s="248"/>
      <c r="B192" s="6" t="s">
        <v>51</v>
      </c>
      <c r="C192" s="8">
        <f>SUMIFS(周检修业务统计数据!E:E,周检修业务统计数据!B:B,B192,周检修业务统计数据!C:C,"干箱",周检修业务统计数据!D:D,"COS")</f>
        <v>477</v>
      </c>
      <c r="D192" s="6">
        <f>C192-'2025年18周'!C192</f>
        <v>-266</v>
      </c>
      <c r="E192" s="80">
        <f>(SUMIFS(周检修业务统计数据!I:I,周检修业务统计数据!B:B,B192,周检修业务统计数据!C:C,"干箱",周检修业务统计数据!D:D,"COS")+SUMIFS(周检修业务统计数据!J:J,周检修业务统计数据!B:B,B192,周检修业务统计数据!C:C,"干箱",周检修业务统计数据!D:D,"COS"))*1.13</f>
        <v>148364.15</v>
      </c>
      <c r="F192" s="76">
        <f>(E192-'2025年18周'!E192)/'2025年18周'!E192</f>
        <v>-0.3663</v>
      </c>
      <c r="G192" s="77">
        <f t="shared" si="42"/>
        <v>311</v>
      </c>
      <c r="H192" s="76">
        <f>(G192-'2025年18周'!G192)/'2025年18周'!G192</f>
        <v>-0.0127</v>
      </c>
      <c r="I192" s="8">
        <f>SUMIFS(周检修业务统计数据!L:L,周检修业务统计数据!B:B,B192,周检修业务统计数据!C:C,"干箱",周检修业务统计数据!D:D,"COS")*1.06</f>
        <v>0</v>
      </c>
      <c r="J192" s="8">
        <f>SUMIFS(周检修业务统计数据!E:E,周检修业务统计数据!B:B,B192,周检修业务统计数据!C:C,"干箱",周检修业务统计数据!D:D,"&lt;&gt;COS")</f>
        <v>0</v>
      </c>
      <c r="K192" s="6">
        <f>J192-'2025年18周'!J192</f>
        <v>0</v>
      </c>
      <c r="L192" s="80">
        <f>(SUMIFS(周检修业务统计数据!I:I,周检修业务统计数据!B:B,B192,周检修业务统计数据!C:C,"干箱",周检修业务统计数据!D:D,"&lt;&gt;COS")+SUMIFS(周检修业务统计数据!J:J,周检修业务统计数据!B:B,B192,周检修业务统计数据!C:C,"干箱",周检修业务统计数据!D:D,"&lt;&gt;COS"))*1.13++SUMIFS(周检修业务统计数据!L:L,周检修业务统计数据!B:B,B192,周检修业务统计数据!C:C,"干箱",周检修业务统计数据!D:D,"&lt;&gt;COS")*1.06</f>
        <v>0</v>
      </c>
      <c r="M192" s="76" t="e">
        <f>(L192-'2025年18周'!L192)/'2025年18周'!L192</f>
        <v>#DIV/0!</v>
      </c>
      <c r="N192" s="77" t="e">
        <f t="shared" si="43"/>
        <v>#DIV/0!</v>
      </c>
      <c r="O192" s="76" t="e">
        <f>(N192-'2025年18周'!N192)/'2025年18周'!N192</f>
        <v>#DIV/0!</v>
      </c>
      <c r="P192" s="83">
        <f>(SUMIFS(周检修业务统计数据!I:I,周检修业务统计数据!B:B,B192,周检修业务统计数据!C:C,"&lt;&gt;干箱")+SUMIFS(周检修业务统计数据!J:J,周检修业务统计数据!B:B,B192,周检修业务统计数据!C:C,"&lt;&gt;干箱"))*1.13++SUMIFS(周检修业务统计数据!L:L,周检修业务统计数据!B:B,B192,周检修业务统计数据!C:C,"&lt;&gt;干箱")*1.06</f>
        <v>0</v>
      </c>
      <c r="Q192" s="3">
        <v>20091</v>
      </c>
      <c r="R192" s="3"/>
      <c r="S192" s="53"/>
      <c r="T192" s="168">
        <f t="shared" si="45"/>
        <v>477</v>
      </c>
      <c r="U192" s="77">
        <f t="shared" si="44"/>
        <v>168455</v>
      </c>
      <c r="V192" s="76">
        <f>(T192-'2025年18周'!T192)/'2025年18周'!T192</f>
        <v>-0.358</v>
      </c>
      <c r="W192" s="76">
        <f>(U192-'2025年18周'!U192)/'2025年18周'!U192</f>
        <v>-0.3639</v>
      </c>
    </row>
    <row r="193" ht="18" customHeight="1" spans="1:28">
      <c r="A193" s="248"/>
      <c r="B193" s="6" t="s">
        <v>52</v>
      </c>
      <c r="C193" s="8">
        <f>SUMIFS(周检修业务统计数据!E:E,周检修业务统计数据!B:B,B193,周检修业务统计数据!C:C,"干箱",周检修业务统计数据!D:D,"COS")</f>
        <v>140</v>
      </c>
      <c r="D193" s="6">
        <f>C193-'2025年18周'!C193</f>
        <v>-70</v>
      </c>
      <c r="E193" s="80">
        <f>(SUMIFS(周检修业务统计数据!I:I,周检修业务统计数据!B:B,B193,周检修业务统计数据!C:C,"干箱",周检修业务统计数据!D:D,"COS")+SUMIFS(周检修业务统计数据!J:J,周检修业务统计数据!B:B,B193,周检修业务统计数据!C:C,"干箱",周检修业务统计数据!D:D,"COS"))*1.13</f>
        <v>45588.62</v>
      </c>
      <c r="F193" s="76">
        <f>(E193-'2025年18周'!E193)/'2025年18周'!E193</f>
        <v>-0.3252</v>
      </c>
      <c r="G193" s="77">
        <f t="shared" si="42"/>
        <v>326</v>
      </c>
      <c r="H193" s="76">
        <f>(G193-'2025年18周'!G193)/'2025年18周'!G193</f>
        <v>0.0124</v>
      </c>
      <c r="I193" s="8">
        <f>SUMIFS(周检修业务统计数据!L:L,周检修业务统计数据!B:B,B193,周检修业务统计数据!C:C,"干箱",周检修业务统计数据!D:D,"COS")*1.06</f>
        <v>0</v>
      </c>
      <c r="J193" s="8">
        <f>SUMIFS(周检修业务统计数据!E:E,周检修业务统计数据!B:B,B193,周检修业务统计数据!C:C,"干箱",周检修业务统计数据!D:D,"&lt;&gt;COS")</f>
        <v>0</v>
      </c>
      <c r="K193" s="6">
        <f>J193-'2025年18周'!J193</f>
        <v>0</v>
      </c>
      <c r="L193" s="80">
        <f>(SUMIFS(周检修业务统计数据!I:I,周检修业务统计数据!B:B,B193,周检修业务统计数据!C:C,"干箱",周检修业务统计数据!D:D,"&lt;&gt;COS")+SUMIFS(周检修业务统计数据!J:J,周检修业务统计数据!B:B,B193,周检修业务统计数据!C:C,"干箱",周检修业务统计数据!D:D,"&lt;&gt;COS"))*1.13++SUMIFS(周检修业务统计数据!L:L,周检修业务统计数据!B:B,B193,周检修业务统计数据!C:C,"干箱",周检修业务统计数据!D:D,"&lt;&gt;COS")*1.06</f>
        <v>0</v>
      </c>
      <c r="M193" s="76" t="e">
        <f>(L193-'2025年18周'!L193)/'2025年18周'!L193</f>
        <v>#DIV/0!</v>
      </c>
      <c r="N193" s="77" t="e">
        <f t="shared" si="43"/>
        <v>#DIV/0!</v>
      </c>
      <c r="O193" s="76" t="e">
        <f>(N193-'2025年18周'!N193)/'2025年18周'!N193</f>
        <v>#DIV/0!</v>
      </c>
      <c r="P193" s="83">
        <f>(SUMIFS(周检修业务统计数据!I:I,周检修业务统计数据!B:B,B193,周检修业务统计数据!C:C,"&lt;&gt;干箱")+SUMIFS(周检修业务统计数据!J:J,周检修业务统计数据!B:B,B193,周检修业务统计数据!C:C,"&lt;&gt;干箱"))*1.13++SUMIFS(周检修业务统计数据!L:L,周检修业务统计数据!B:B,B193,周检修业务统计数据!C:C,"&lt;&gt;干箱")*1.06</f>
        <v>0</v>
      </c>
      <c r="Q193" s="3">
        <v>13135</v>
      </c>
      <c r="R193" s="3"/>
      <c r="S193" s="53"/>
      <c r="T193" s="168">
        <f t="shared" si="45"/>
        <v>140</v>
      </c>
      <c r="U193" s="77">
        <f t="shared" si="44"/>
        <v>58724</v>
      </c>
      <c r="V193" s="76">
        <f>(T193-'2025年18周'!T193)/'2025年18周'!T193</f>
        <v>-0.3333</v>
      </c>
      <c r="W193" s="76">
        <f>(U193-'2025年18周'!U193)/'2025年18周'!U193</f>
        <v>-0.19</v>
      </c>
    </row>
    <row r="194" ht="18" customHeight="1" spans="1:28">
      <c r="A194" s="249"/>
      <c r="B194" s="6" t="s">
        <v>53</v>
      </c>
      <c r="C194" s="8">
        <f>SUMIFS(周检修业务统计数据!E:E,周检修业务统计数据!B:B,B194,周检修业务统计数据!C:C,"干箱",周检修业务统计数据!D:D,"COS")</f>
        <v>881</v>
      </c>
      <c r="D194" s="6">
        <f>C194-'2025年18周'!C194</f>
        <v>-114</v>
      </c>
      <c r="E194" s="80">
        <f>(SUMIFS(周检修业务统计数据!I:I,周检修业务统计数据!B:B,B194,周检修业务统计数据!C:C,"干箱",周检修业务统计数据!D:D,"COS")+SUMIFS(周检修业务统计数据!J:J,周检修业务统计数据!B:B,B194,周检修业务统计数据!C:C,"干箱",周检修业务统计数据!D:D,"COS"))*1.13</f>
        <v>243390.59</v>
      </c>
      <c r="F194" s="76">
        <f>(E194-'2025年18周'!E194)/'2025年18周'!E194</f>
        <v>-0.2446</v>
      </c>
      <c r="G194" s="77">
        <f t="shared" si="42"/>
        <v>276</v>
      </c>
      <c r="H194" s="76">
        <f>(G194-'2025年18周'!G194)/'2025年18周'!G194</f>
        <v>-0.1481</v>
      </c>
      <c r="I194" s="8">
        <f>SUMIFS(周检修业务统计数据!L:L,周检修业务统计数据!B:B,B194,周检修业务统计数据!C:C,"干箱",周检修业务统计数据!D:D,"COS")*1.06</f>
        <v>0</v>
      </c>
      <c r="J194" s="8">
        <f>SUMIFS(周检修业务统计数据!E:E,周检修业务统计数据!B:B,B194,周检修业务统计数据!C:C,"干箱",周检修业务统计数据!D:D,"&lt;&gt;COS")</f>
        <v>15</v>
      </c>
      <c r="K194" s="6">
        <f>J194-'2025年18周'!J194</f>
        <v>1</v>
      </c>
      <c r="L194" s="80">
        <f>(SUMIFS(周检修业务统计数据!I:I,周检修业务统计数据!B:B,B194,周检修业务统计数据!C:C,"干箱",周检修业务统计数据!D:D,"&lt;&gt;COS")+SUMIFS(周检修业务统计数据!J:J,周检修业务统计数据!B:B,B194,周检修业务统计数据!C:C,"干箱",周检修业务统计数据!D:D,"&lt;&gt;COS"))*1.13++SUMIFS(周检修业务统计数据!L:L,周检修业务统计数据!B:B,B194,周检修业务统计数据!C:C,"干箱",周检修业务统计数据!D:D,"&lt;&gt;COS")*1.06</f>
        <v>5543.28</v>
      </c>
      <c r="M194" s="76">
        <f>(L194-'2025年18周'!L194)/'2025年18周'!L194</f>
        <v>1.1711</v>
      </c>
      <c r="N194" s="77">
        <f t="shared" si="43"/>
        <v>370</v>
      </c>
      <c r="O194" s="76">
        <f>(N194-'2025年18周'!N194)/'2025年18周'!N194</f>
        <v>1.033</v>
      </c>
      <c r="P194" s="83">
        <f>(SUMIFS(周检修业务统计数据!I:I,周检修业务统计数据!B:B,B194,周检修业务统计数据!C:C,"&lt;&gt;干箱")+SUMIFS(周检修业务统计数据!J:J,周检修业务统计数据!B:B,B194,周检修业务统计数据!C:C,"&lt;&gt;干箱"))*1.13++SUMIFS(周检修业务统计数据!L:L,周检修业务统计数据!B:B,B194,周检修业务统计数据!C:C,"&lt;&gt;干箱")*1.06</f>
        <v>0</v>
      </c>
      <c r="Q194" s="3">
        <v>36112</v>
      </c>
      <c r="R194" s="3">
        <v>10260</v>
      </c>
      <c r="S194" s="53"/>
      <c r="T194" s="168">
        <f t="shared" si="45"/>
        <v>896</v>
      </c>
      <c r="U194" s="77">
        <f t="shared" si="44"/>
        <v>295306</v>
      </c>
      <c r="V194" s="76">
        <f>(T194-'2025年18周'!T194)/'2025年18周'!T194</f>
        <v>-0.112</v>
      </c>
      <c r="W194" s="76">
        <f>(U194-'2025年18周'!U194)/'2025年18周'!U194</f>
        <v>-0.1885</v>
      </c>
    </row>
    <row r="195" ht="18" customHeight="1" spans="1:28">
      <c r="A195" s="22"/>
      <c r="B195" s="6" t="s">
        <v>163</v>
      </c>
      <c r="C195" s="8">
        <f>SUMIFS(周检修业务统计数据!E:E,周检修业务统计数据!B:B,B195,周检修业务统计数据!C:C,"干箱",周检修业务统计数据!D:D,"COS")</f>
        <v>0</v>
      </c>
      <c r="D195" s="6">
        <f>C195-'2025年18周'!C195</f>
        <v>0</v>
      </c>
      <c r="E195" s="80">
        <f>(SUMIFS(周检修业务统计数据!I:I,周检修业务统计数据!B:B,B195,周检修业务统计数据!C:C,"干箱",周检修业务统计数据!D:D,"COS")+SUMIFS(周检修业务统计数据!J:J,周检修业务统计数据!B:B,B195,周检修业务统计数据!C:C,"干箱",周检修业务统计数据!D:D,"COS"))*1.13</f>
        <v>0</v>
      </c>
      <c r="F195" s="76" t="e">
        <f>(E195-'2025年18周'!E195)/'2025年18周'!E195</f>
        <v>#DIV/0!</v>
      </c>
      <c r="G195" s="77" t="e">
        <f t="shared" si="42"/>
        <v>#DIV/0!</v>
      </c>
      <c r="H195" s="76" t="e">
        <f>(G195-'2025年18周'!G195)/'2025年18周'!G195</f>
        <v>#DIV/0!</v>
      </c>
      <c r="I195" s="8">
        <f>SUMIFS(周检修业务统计数据!L:L,周检修业务统计数据!B:B,B195,周检修业务统计数据!C:C,"干箱",周检修业务统计数据!D:D,"COS")*1.06</f>
        <v>0</v>
      </c>
      <c r="J195" s="8">
        <f>SUMIFS(周检修业务统计数据!E:E,周检修业务统计数据!B:B,B195,周检修业务统计数据!C:C,"干箱",周检修业务统计数据!D:D,"&lt;&gt;COS")</f>
        <v>48</v>
      </c>
      <c r="K195" s="6">
        <f>J195-'2025年18周'!J195</f>
        <v>7</v>
      </c>
      <c r="L195" s="80">
        <f>(SUMIFS(周检修业务统计数据!I:I,周检修业务统计数据!B:B,B195,周检修业务统计数据!C:C,"干箱",周检修业务统计数据!D:D,"&lt;&gt;COS")+SUMIFS(周检修业务统计数据!J:J,周检修业务统计数据!B:B,B195,周检修业务统计数据!C:C,"干箱",周检修业务统计数据!D:D,"&lt;&gt;COS"))*1.13++SUMIFS(周检修业务统计数据!L:L,周检修业务统计数据!B:B,B195,周检修业务统计数据!C:C,"干箱",周检修业务统计数据!D:D,"&lt;&gt;COS")*1.06</f>
        <v>6229.27</v>
      </c>
      <c r="M195" s="76">
        <f>(L195-'2025年18周'!L195)/'2025年18周'!L195</f>
        <v>-0.1668</v>
      </c>
      <c r="N195" s="77">
        <f t="shared" si="43"/>
        <v>130</v>
      </c>
      <c r="O195" s="76">
        <f>(N195-'2025年18周'!N195)/'2025年18周'!N195</f>
        <v>-0.2857</v>
      </c>
      <c r="P195" s="83">
        <f>(SUMIFS(周检修业务统计数据!I:I,周检修业务统计数据!B:B,B195,周检修业务统计数据!C:C,"&lt;&gt;干箱")+SUMIFS(周检修业务统计数据!J:J,周检修业务统计数据!B:B,B195,周检修业务统计数据!C:C,"&lt;&gt;干箱"))*1.13++SUMIFS(周检修业务统计数据!L:L,周检修业务统计数据!B:B,B195,周检修业务统计数据!C:C,"&lt;&gt;干箱")*1.06</f>
        <v>0</v>
      </c>
      <c r="Q195" s="3"/>
      <c r="R195" s="3"/>
      <c r="S195" s="53"/>
      <c r="T195" s="168">
        <f t="shared" si="45"/>
        <v>48</v>
      </c>
      <c r="U195" s="77">
        <f t="shared" si="44"/>
        <v>6229</v>
      </c>
      <c r="V195" s="76">
        <f>(T195-'2025年18周'!T195)/'2025年18周'!T195</f>
        <v>0.1707</v>
      </c>
      <c r="W195" s="76">
        <f>(U195-'2025年18周'!U195)/'2025年18周'!U195</f>
        <v>-0.1668</v>
      </c>
    </row>
    <row r="196" s="165" customFormat="1" ht="18" customHeight="1" spans="1:28">
      <c r="A196" s="32" t="s">
        <v>184</v>
      </c>
      <c r="B196" s="33"/>
      <c r="C196" s="250">
        <f>SUM(C188:C195)</f>
        <v>2201</v>
      </c>
      <c r="D196" s="6">
        <f>C196-'2025年18周'!C196</f>
        <v>-1008</v>
      </c>
      <c r="E196" s="251">
        <f>SUM(E188:E195)</f>
        <v>677000.77</v>
      </c>
      <c r="F196" s="76">
        <f>(E196-'2025年18周'!E196)/'2025年18周'!E196</f>
        <v>-0.3831</v>
      </c>
      <c r="G196" s="77">
        <f t="shared" si="42"/>
        <v>308</v>
      </c>
      <c r="H196" s="76">
        <f>(G196-'2025年18周'!G196)/'2025年18周'!G196</f>
        <v>-0.0994</v>
      </c>
      <c r="I196" s="8">
        <f>SUMIFS(周检修业务统计数据!L:L,周检修业务统计数据!B:B,B196,周检修业务统计数据!C:C,"干箱",周检修业务统计数据!D:D,"COS")*1.06</f>
        <v>0</v>
      </c>
      <c r="J196" s="250">
        <f>SUM(J188:J195)</f>
        <v>314</v>
      </c>
      <c r="K196" s="6">
        <f>J196-'2025年18周'!J196</f>
        <v>-521</v>
      </c>
      <c r="L196" s="251">
        <f>SUM(L188:L194)</f>
        <v>59893.23</v>
      </c>
      <c r="M196" s="76">
        <f>(L196-'2025年18周'!L196)/'2025年18周'!L196</f>
        <v>-0.5984</v>
      </c>
      <c r="N196" s="77">
        <f t="shared" si="43"/>
        <v>191</v>
      </c>
      <c r="O196" s="76">
        <f>(N196-'2025年18周'!N196)/'2025年18周'!N196</f>
        <v>0.067</v>
      </c>
      <c r="P196" s="252">
        <f>SUM(P188:P195)</f>
        <v>1918.65</v>
      </c>
      <c r="Q196" s="252">
        <f>SUM(Q188:Q195)</f>
        <v>218190.66</v>
      </c>
      <c r="R196" s="252">
        <f>SUM(R188:R195)</f>
        <v>20885</v>
      </c>
      <c r="S196" s="253"/>
      <c r="T196" s="24">
        <f>SUM(T188:T195)</f>
        <v>2515</v>
      </c>
      <c r="U196" s="22">
        <f>SUM(U188:U195)</f>
        <v>984118</v>
      </c>
      <c r="V196" s="76">
        <f>(T196-'2025年18周'!T196)/'2025年18周'!T196</f>
        <v>-0.3781</v>
      </c>
      <c r="W196" s="76">
        <f>(U196-'2025年18周'!U196)/'2025年18周'!U196</f>
        <v>-0.3793</v>
      </c>
      <c r="X196" s="246"/>
      <c r="Y196" s="246"/>
      <c r="Z196" s="246"/>
      <c r="AA196" s="246"/>
      <c r="AB196" s="246"/>
    </row>
  </sheetData>
  <protectedRanges>
    <protectedRange sqref="W45:W82" name="W45:W82"/>
  </protectedRanges>
  <mergeCells count="92">
    <mergeCell ref="A1:W1"/>
    <mergeCell ref="X1:AB1"/>
    <mergeCell ref="A2:B2"/>
    <mergeCell ref="C2:I2"/>
    <mergeCell ref="J2:O2"/>
    <mergeCell ref="P2:S2"/>
    <mergeCell ref="T2:W2"/>
    <mergeCell ref="X2:Y2"/>
    <mergeCell ref="Z2:AB2"/>
    <mergeCell ref="A3:B3"/>
    <mergeCell ref="A36:B36"/>
    <mergeCell ref="O37:T37"/>
    <mergeCell ref="A38:B38"/>
    <mergeCell ref="A39:B39"/>
    <mergeCell ref="A40:B40"/>
    <mergeCell ref="T40:W40"/>
    <mergeCell ref="A41:B41"/>
    <mergeCell ref="A42:O42"/>
    <mergeCell ref="A43:B43"/>
    <mergeCell ref="C43:H43"/>
    <mergeCell ref="J43:O43"/>
    <mergeCell ref="P43:S43"/>
    <mergeCell ref="T43:W43"/>
    <mergeCell ref="X43:AB43"/>
    <mergeCell ref="A44:B44"/>
    <mergeCell ref="A186:B186"/>
    <mergeCell ref="C186:I186"/>
    <mergeCell ref="J186:O186"/>
    <mergeCell ref="P186:S186"/>
    <mergeCell ref="T186:W186"/>
    <mergeCell ref="A187:B187"/>
    <mergeCell ref="A196:B196"/>
    <mergeCell ref="A4:A10"/>
    <mergeCell ref="A11:A35"/>
    <mergeCell ref="A188:A194"/>
    <mergeCell ref="V45:V46"/>
    <mergeCell ref="V52:V54"/>
    <mergeCell ref="V55:V57"/>
    <mergeCell ref="V58:V60"/>
    <mergeCell ref="V77:V78"/>
    <mergeCell ref="V82:V83"/>
    <mergeCell ref="W45:W46"/>
    <mergeCell ref="W52:W54"/>
    <mergeCell ref="W55:W57"/>
    <mergeCell ref="W58:W60"/>
    <mergeCell ref="W77:W78"/>
    <mergeCell ref="W82:W83"/>
    <mergeCell ref="X45:X46"/>
    <mergeCell ref="X49:X51"/>
    <mergeCell ref="X52:X54"/>
    <mergeCell ref="X55:X57"/>
    <mergeCell ref="X58:X60"/>
    <mergeCell ref="X65:X67"/>
    <mergeCell ref="X77:X78"/>
    <mergeCell ref="X80:X81"/>
    <mergeCell ref="X82:X83"/>
    <mergeCell ref="Y45:Y46"/>
    <mergeCell ref="Y49:Y51"/>
    <mergeCell ref="Y52:Y54"/>
    <mergeCell ref="Y55:Y57"/>
    <mergeCell ref="Y58:Y60"/>
    <mergeCell ref="Y65:Y67"/>
    <mergeCell ref="Y77:Y78"/>
    <mergeCell ref="Y80:Y81"/>
    <mergeCell ref="Y82:Y83"/>
    <mergeCell ref="Z49:Z51"/>
    <mergeCell ref="Z52:Z54"/>
    <mergeCell ref="Z55:Z57"/>
    <mergeCell ref="Z58:Z60"/>
    <mergeCell ref="Z65:Z67"/>
    <mergeCell ref="Z77:Z78"/>
    <mergeCell ref="Z80:Z81"/>
    <mergeCell ref="Z82:Z83"/>
    <mergeCell ref="AA49:AA51"/>
    <mergeCell ref="AA52:AA54"/>
    <mergeCell ref="AA55:AA57"/>
    <mergeCell ref="AA58:AA60"/>
    <mergeCell ref="AA65:AA67"/>
    <mergeCell ref="AA77:AA78"/>
    <mergeCell ref="AA80:AA81"/>
    <mergeCell ref="AA82:AA83"/>
    <mergeCell ref="AB49:AB51"/>
    <mergeCell ref="AB52:AB54"/>
    <mergeCell ref="AB55:AB57"/>
    <mergeCell ref="AB58:AB60"/>
    <mergeCell ref="AB65:AB67"/>
    <mergeCell ref="AB77:AB78"/>
    <mergeCell ref="AB80:AB81"/>
    <mergeCell ref="AB82:AB83"/>
    <mergeCell ref="AC43:AC44"/>
    <mergeCell ref="AC80:AC81"/>
    <mergeCell ref="AD80:AD81"/>
  </mergeCells>
  <pageMargins left="0.7" right="0.7" top="0.75" bottom="0.75" header="0.3" footer="0.3"/>
  <pageSetup paperSize="9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F139"/>
  <sheetViews>
    <sheetView zoomScale="80" zoomScaleNormal="80" topLeftCell="A29" workbookViewId="0">
      <pane xSplit="1" topLeftCell="P1" activePane="topRight" state="frozen"/>
      <selection/>
      <selection pane="topRight" activeCell="X66" sqref="X66"/>
    </sheetView>
  </sheetViews>
  <sheetFormatPr defaultColWidth="9" defaultRowHeight="13.5"/>
  <cols>
    <col min="1" max="1" width="24.875" customWidth="1"/>
    <col min="2" max="2" width="16" style="1"/>
    <col min="3" max="3" width="11.5083333333333" customWidth="1"/>
    <col min="4" max="4" width="16"/>
    <col min="5" max="5" width="14.625" customWidth="1"/>
    <col min="6" max="6" width="12.75" customWidth="1"/>
    <col min="7" max="7" width="14.875"/>
    <col min="8" max="10" width="16"/>
    <col min="11" max="11" width="11.875" customWidth="1"/>
    <col min="12" max="14" width="16"/>
    <col min="15" max="15" width="9.875" customWidth="1"/>
    <col min="16" max="19" width="16"/>
    <col min="20" max="20" width="10.775" customWidth="1"/>
    <col min="21" max="21" width="11.7083333333333" customWidth="1"/>
    <col min="22" max="22" width="10.775" customWidth="1"/>
    <col min="23" max="23" width="10.3083333333333" customWidth="1"/>
    <col min="24" max="24" width="16"/>
    <col min="25" max="25" width="10.3083333333333" customWidth="1"/>
    <col min="26" max="26" width="12.4916666666667" customWidth="1"/>
    <col min="27" max="28" width="16"/>
    <col min="29" max="29" width="10.625" customWidth="1"/>
    <col min="30" max="30" width="11.4083333333333" customWidth="1"/>
    <col min="31" max="31" width="11.5583333333333" customWidth="1"/>
    <col min="32" max="32" width="11.4" customWidth="1"/>
    <col min="33" max="35" width="16"/>
    <col min="36" max="36" width="9.68333333333333" customWidth="1"/>
    <col min="37" max="39" width="16"/>
    <col min="40" max="40" width="10.4583333333333" customWidth="1"/>
    <col min="41" max="44" width="16"/>
    <col min="45" max="46" width="10.625" customWidth="1"/>
    <col min="47" max="47" width="11.4" customWidth="1"/>
    <col min="48" max="49" width="16"/>
    <col min="50" max="50" width="10.3083333333333" customWidth="1"/>
    <col min="51" max="53" width="16"/>
    <col min="54" max="54" width="18.25"/>
    <col min="55" max="55" width="13.75"/>
    <col min="56" max="56" width="23.625" customWidth="1"/>
    <col min="57" max="58" width="12.625"/>
  </cols>
  <sheetData>
    <row r="1" spans="1:54">
      <c r="A1" s="122" t="s">
        <v>245</v>
      </c>
      <c r="B1" s="122" t="s">
        <v>246</v>
      </c>
      <c r="C1" s="122" t="s">
        <v>247</v>
      </c>
      <c r="D1" s="122" t="s">
        <v>248</v>
      </c>
      <c r="E1" s="122" t="s">
        <v>249</v>
      </c>
      <c r="F1" s="122" t="s">
        <v>250</v>
      </c>
      <c r="G1" s="122" t="s">
        <v>251</v>
      </c>
      <c r="H1" s="122" t="s">
        <v>252</v>
      </c>
      <c r="I1" s="122" t="s">
        <v>253</v>
      </c>
      <c r="J1" s="122" t="s">
        <v>254</v>
      </c>
      <c r="K1" s="122" t="s">
        <v>255</v>
      </c>
      <c r="L1" s="122" t="s">
        <v>256</v>
      </c>
      <c r="M1" s="122" t="s">
        <v>257</v>
      </c>
      <c r="N1" s="1"/>
    </row>
    <row r="2" spans="1:54">
      <c r="A2" s="9" t="s">
        <v>258</v>
      </c>
      <c r="B2" s="9">
        <v>31</v>
      </c>
      <c r="C2" s="9">
        <v>31</v>
      </c>
      <c r="D2" s="9">
        <v>28</v>
      </c>
      <c r="E2" s="9">
        <v>31</v>
      </c>
      <c r="F2" s="9">
        <v>30</v>
      </c>
      <c r="G2" s="9">
        <v>31</v>
      </c>
      <c r="H2" s="9">
        <v>30</v>
      </c>
      <c r="I2" s="9">
        <v>31</v>
      </c>
      <c r="J2" s="9">
        <v>31</v>
      </c>
      <c r="K2" s="9">
        <v>30</v>
      </c>
      <c r="L2" s="9">
        <v>31</v>
      </c>
      <c r="M2" s="9">
        <v>30</v>
      </c>
      <c r="N2" s="1"/>
    </row>
    <row r="3" spans="1:54">
      <c r="A3" s="123" t="s">
        <v>259</v>
      </c>
      <c r="B3" s="124">
        <f>B4/29000</f>
        <v>0.078</v>
      </c>
      <c r="C3" s="124">
        <f t="shared" ref="C3:M3" si="0">C4/29000</f>
        <v>0.061</v>
      </c>
      <c r="D3" s="124">
        <f t="shared" si="0"/>
        <v>0.078</v>
      </c>
      <c r="E3" s="124">
        <f t="shared" si="0"/>
        <v>0.082</v>
      </c>
      <c r="F3" s="124">
        <f t="shared" si="0"/>
        <v>0.082</v>
      </c>
      <c r="G3" s="124">
        <f t="shared" si="0"/>
        <v>0.089</v>
      </c>
      <c r="H3" s="124">
        <f t="shared" si="0"/>
        <v>0.089</v>
      </c>
      <c r="I3" s="124">
        <f t="shared" si="0"/>
        <v>0.089</v>
      </c>
      <c r="J3" s="124">
        <f t="shared" si="0"/>
        <v>0.089</v>
      </c>
      <c r="K3" s="124">
        <f t="shared" si="0"/>
        <v>0.086</v>
      </c>
      <c r="L3" s="124">
        <f t="shared" si="0"/>
        <v>0.092</v>
      </c>
      <c r="M3" s="124">
        <f t="shared" si="0"/>
        <v>0.083</v>
      </c>
    </row>
    <row r="4" spans="1:54">
      <c r="A4" s="9" t="s">
        <v>260</v>
      </c>
      <c r="B4" s="51">
        <v>2268</v>
      </c>
      <c r="C4" s="51">
        <v>1780</v>
      </c>
      <c r="D4" s="51">
        <v>2268</v>
      </c>
      <c r="E4" s="51">
        <v>2368</v>
      </c>
      <c r="F4" s="51">
        <v>2368</v>
      </c>
      <c r="G4" s="51">
        <v>2590</v>
      </c>
      <c r="H4" s="51">
        <v>2590</v>
      </c>
      <c r="I4" s="51">
        <v>2590</v>
      </c>
      <c r="J4" s="51">
        <v>2590</v>
      </c>
      <c r="K4" s="51">
        <v>2505</v>
      </c>
      <c r="L4" s="51">
        <v>2668</v>
      </c>
      <c r="M4" s="51">
        <v>2415</v>
      </c>
    </row>
    <row r="5" spans="1:54">
      <c r="A5" s="122" t="s">
        <v>261</v>
      </c>
      <c r="B5" s="125">
        <f t="shared" ref="B5:M5" si="1">B4/B2</f>
        <v>73.16</v>
      </c>
      <c r="C5" s="125">
        <f t="shared" si="1"/>
        <v>57.42</v>
      </c>
      <c r="D5" s="125">
        <f t="shared" si="1"/>
        <v>81</v>
      </c>
      <c r="E5" s="125">
        <f t="shared" si="1"/>
        <v>76.39</v>
      </c>
      <c r="F5" s="125">
        <f t="shared" si="1"/>
        <v>78.93</v>
      </c>
      <c r="G5" s="125">
        <f t="shared" si="1"/>
        <v>83.55</v>
      </c>
      <c r="H5" s="125">
        <f t="shared" si="1"/>
        <v>86.33</v>
      </c>
      <c r="I5" s="125">
        <f t="shared" si="1"/>
        <v>83.55</v>
      </c>
      <c r="J5" s="125">
        <f t="shared" si="1"/>
        <v>83.55</v>
      </c>
      <c r="K5" s="125">
        <f t="shared" si="1"/>
        <v>83.5</v>
      </c>
      <c r="L5" s="125">
        <f t="shared" si="1"/>
        <v>86.06</v>
      </c>
      <c r="M5" s="125">
        <f t="shared" si="1"/>
        <v>80.5</v>
      </c>
    </row>
    <row r="6" spans="1:54">
      <c r="A6" s="3" t="s">
        <v>262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54">
      <c r="A7" s="3" t="s">
        <v>263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54">
      <c r="A8" s="126" t="s">
        <v>264</v>
      </c>
      <c r="B8" s="127">
        <f t="shared" ref="B8:L8" si="2">B7/B4</f>
        <v>0</v>
      </c>
      <c r="C8" s="127">
        <f t="shared" si="2"/>
        <v>0</v>
      </c>
      <c r="D8" s="127">
        <f t="shared" si="2"/>
        <v>0</v>
      </c>
      <c r="E8" s="127">
        <f t="shared" si="2"/>
        <v>0</v>
      </c>
      <c r="F8" s="127">
        <f t="shared" si="2"/>
        <v>0</v>
      </c>
      <c r="G8" s="127">
        <f t="shared" si="2"/>
        <v>0</v>
      </c>
      <c r="H8" s="127">
        <f t="shared" si="2"/>
        <v>0</v>
      </c>
      <c r="I8" s="127">
        <f t="shared" si="2"/>
        <v>0</v>
      </c>
      <c r="J8" s="127">
        <f t="shared" si="2"/>
        <v>0</v>
      </c>
      <c r="K8" s="127">
        <f t="shared" si="2"/>
        <v>0</v>
      </c>
      <c r="L8" s="127">
        <f t="shared" si="2"/>
        <v>0</v>
      </c>
      <c r="M8" s="126"/>
    </row>
    <row r="9" spans="1:54">
      <c r="A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54">
      <c r="A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54">
      <c r="A11" s="8" t="s">
        <v>265</v>
      </c>
      <c r="B11" s="9" t="s">
        <v>266</v>
      </c>
      <c r="C11" s="9" t="s">
        <v>267</v>
      </c>
      <c r="D11" s="9" t="s">
        <v>268</v>
      </c>
      <c r="E11" s="9" t="s">
        <v>269</v>
      </c>
      <c r="F11" s="9" t="s">
        <v>270</v>
      </c>
      <c r="G11" s="9" t="s">
        <v>271</v>
      </c>
      <c r="H11" s="9" t="s">
        <v>272</v>
      </c>
      <c r="I11" s="9" t="s">
        <v>273</v>
      </c>
      <c r="J11" s="9" t="s">
        <v>274</v>
      </c>
      <c r="K11" s="9" t="s">
        <v>275</v>
      </c>
      <c r="L11" s="9" t="s">
        <v>276</v>
      </c>
      <c r="M11" s="9" t="s">
        <v>277</v>
      </c>
      <c r="N11" s="9" t="s">
        <v>278</v>
      </c>
      <c r="O11" s="9" t="s">
        <v>279</v>
      </c>
      <c r="P11" s="9" t="s">
        <v>280</v>
      </c>
      <c r="Q11" s="9" t="s">
        <v>281</v>
      </c>
      <c r="R11" s="9" t="s">
        <v>282</v>
      </c>
      <c r="S11" s="9" t="s">
        <v>283</v>
      </c>
      <c r="T11" s="9" t="s">
        <v>284</v>
      </c>
      <c r="U11" s="9" t="s">
        <v>285</v>
      </c>
      <c r="V11" s="9" t="s">
        <v>286</v>
      </c>
      <c r="W11" s="9" t="s">
        <v>287</v>
      </c>
      <c r="X11" s="9" t="s">
        <v>288</v>
      </c>
      <c r="Y11" s="9" t="s">
        <v>289</v>
      </c>
      <c r="Z11" s="9" t="s">
        <v>290</v>
      </c>
      <c r="AA11" s="9" t="s">
        <v>291</v>
      </c>
      <c r="AB11" s="9" t="s">
        <v>292</v>
      </c>
      <c r="AC11" s="9" t="s">
        <v>293</v>
      </c>
      <c r="AD11" s="9" t="s">
        <v>294</v>
      </c>
      <c r="AE11" s="9" t="s">
        <v>295</v>
      </c>
      <c r="AF11" s="9" t="s">
        <v>296</v>
      </c>
      <c r="AG11" s="9" t="s">
        <v>297</v>
      </c>
      <c r="AH11" s="9" t="s">
        <v>298</v>
      </c>
      <c r="AI11" s="9" t="s">
        <v>299</v>
      </c>
      <c r="AJ11" s="9" t="s">
        <v>300</v>
      </c>
      <c r="AK11" s="9" t="s">
        <v>301</v>
      </c>
      <c r="AL11" s="9" t="s">
        <v>302</v>
      </c>
      <c r="AM11" s="9" t="s">
        <v>303</v>
      </c>
      <c r="AN11" s="9" t="s">
        <v>304</v>
      </c>
      <c r="AO11" s="9" t="s">
        <v>305</v>
      </c>
      <c r="AP11" s="9" t="s">
        <v>306</v>
      </c>
      <c r="AQ11" s="9" t="s">
        <v>307</v>
      </c>
      <c r="AR11" s="9" t="s">
        <v>308</v>
      </c>
      <c r="AS11" s="9" t="s">
        <v>309</v>
      </c>
      <c r="AT11" s="9" t="s">
        <v>310</v>
      </c>
      <c r="AU11" s="9" t="s">
        <v>311</v>
      </c>
      <c r="AV11" s="9" t="s">
        <v>312</v>
      </c>
      <c r="AW11" s="9" t="s">
        <v>313</v>
      </c>
      <c r="AX11" s="9" t="s">
        <v>314</v>
      </c>
      <c r="AY11" s="9" t="s">
        <v>315</v>
      </c>
      <c r="AZ11" s="9" t="s">
        <v>316</v>
      </c>
      <c r="BA11" s="9" t="s">
        <v>317</v>
      </c>
      <c r="BB11" s="9" t="s">
        <v>184</v>
      </c>
    </row>
    <row r="12" spans="1:54">
      <c r="A12" s="12" t="s">
        <v>318</v>
      </c>
      <c r="B12" s="128" t="s">
        <v>319</v>
      </c>
      <c r="C12" s="128" t="s">
        <v>320</v>
      </c>
      <c r="D12" s="3" t="s">
        <v>321</v>
      </c>
      <c r="E12" s="3" t="s">
        <v>322</v>
      </c>
      <c r="F12" s="3" t="s">
        <v>323</v>
      </c>
      <c r="G12" s="3" t="s">
        <v>324</v>
      </c>
      <c r="H12" s="3" t="s">
        <v>325</v>
      </c>
      <c r="I12" s="3" t="s">
        <v>326</v>
      </c>
      <c r="J12" s="3" t="s">
        <v>327</v>
      </c>
      <c r="K12" s="3" t="s">
        <v>328</v>
      </c>
      <c r="L12" s="3" t="s">
        <v>329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 t="s">
        <v>335</v>
      </c>
      <c r="S12" s="3" t="s">
        <v>336</v>
      </c>
      <c r="T12" s="3" t="s">
        <v>337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1:54">
      <c r="A13" s="129" t="s">
        <v>338</v>
      </c>
      <c r="B13" s="130">
        <f>7*$B$5</f>
        <v>512.12</v>
      </c>
      <c r="C13" s="130">
        <f>7*$B$5</f>
        <v>512.12</v>
      </c>
      <c r="D13" s="130">
        <f>7*$B$5</f>
        <v>512.12</v>
      </c>
      <c r="E13" s="130">
        <f>7*$B$5</f>
        <v>512.12</v>
      </c>
      <c r="F13" s="130">
        <f>B5*3+4*C5</f>
        <v>449.16</v>
      </c>
      <c r="G13" s="130">
        <f>$C$5*7</f>
        <v>401.94</v>
      </c>
      <c r="H13" s="130">
        <f>$C$5*7</f>
        <v>401.94</v>
      </c>
      <c r="I13" s="130">
        <f>$C$5*7</f>
        <v>401.94</v>
      </c>
      <c r="J13" s="130">
        <f>C5*5+D5*2</f>
        <v>449.1</v>
      </c>
      <c r="K13" s="130">
        <f>$D$5*7</f>
        <v>567</v>
      </c>
      <c r="L13" s="130">
        <f>$D$5*7</f>
        <v>567</v>
      </c>
      <c r="M13" s="130">
        <f>$D$5*7</f>
        <v>567</v>
      </c>
      <c r="N13" s="130">
        <f>$D$5*5+$E$5*2</f>
        <v>557.78</v>
      </c>
      <c r="O13" s="130">
        <f>$E$5*7</f>
        <v>534.73</v>
      </c>
      <c r="P13" s="130">
        <f>$E$5*7</f>
        <v>534.73</v>
      </c>
      <c r="Q13" s="130">
        <f>$E$5*7</f>
        <v>534.73</v>
      </c>
      <c r="R13" s="130">
        <f>$E$5*7</f>
        <v>534.73</v>
      </c>
      <c r="S13" s="130">
        <f>$E$5*6+$F$5*1</f>
        <v>537.27</v>
      </c>
      <c r="T13" s="130">
        <f>$F$5*7</f>
        <v>552.51</v>
      </c>
      <c r="U13" s="130">
        <f>$F$5*7</f>
        <v>552.51</v>
      </c>
      <c r="V13" s="130">
        <f>$F$5*7</f>
        <v>552.51</v>
      </c>
      <c r="W13" s="130">
        <f>$F$5*7</f>
        <v>552.51</v>
      </c>
      <c r="X13" s="130">
        <f>$F$5*3+$G$5*4</f>
        <v>570.99</v>
      </c>
      <c r="Y13" s="130">
        <f>$G$5*7</f>
        <v>584.85</v>
      </c>
      <c r="Z13" s="130">
        <f>$G$5*7</f>
        <v>584.85</v>
      </c>
      <c r="AA13" s="130">
        <f>$G$5*7</f>
        <v>584.85</v>
      </c>
      <c r="AB13" s="130">
        <f>$G$5*4+$H$5*3</f>
        <v>593.19</v>
      </c>
      <c r="AC13" s="130">
        <f>$H$5*7</f>
        <v>604.31</v>
      </c>
      <c r="AD13" s="130">
        <f>$H$5*7</f>
        <v>604.31</v>
      </c>
      <c r="AE13" s="130">
        <f>$H$5*7</f>
        <v>604.31</v>
      </c>
      <c r="AF13" s="130">
        <f>$H$5*7</f>
        <v>604.31</v>
      </c>
      <c r="AG13" s="130">
        <f>$I$5*7</f>
        <v>584.85</v>
      </c>
      <c r="AH13" s="130">
        <f>$I$5*7</f>
        <v>584.85</v>
      </c>
      <c r="AI13" s="130">
        <f>$I$5*7</f>
        <v>584.85</v>
      </c>
      <c r="AJ13" s="130">
        <f>$I$5*7</f>
        <v>584.85</v>
      </c>
      <c r="AK13" s="130">
        <f>$I$5*4+$J$5*3</f>
        <v>584.85</v>
      </c>
      <c r="AL13" s="130">
        <f>$J$5*7</f>
        <v>584.85</v>
      </c>
      <c r="AM13" s="130">
        <f>$J$5*7</f>
        <v>584.85</v>
      </c>
      <c r="AN13" s="130">
        <f>$J$5*7</f>
        <v>584.85</v>
      </c>
      <c r="AO13" s="130">
        <f>$J$5*7</f>
        <v>584.85</v>
      </c>
      <c r="AP13" s="130">
        <f>$J$5*7</f>
        <v>584.85</v>
      </c>
      <c r="AQ13" s="130">
        <f>$K$5*7</f>
        <v>584.5</v>
      </c>
      <c r="AR13" s="130">
        <f>$K$5*7</f>
        <v>584.5</v>
      </c>
      <c r="AS13" s="130">
        <f>$K$5*7</f>
        <v>584.5</v>
      </c>
      <c r="AT13" s="130">
        <f>$L$5*7</f>
        <v>602.42</v>
      </c>
      <c r="AU13" s="130">
        <f>$L$5*7</f>
        <v>602.42</v>
      </c>
      <c r="AV13" s="130">
        <f>$L$5*7</f>
        <v>602.42</v>
      </c>
      <c r="AW13" s="130">
        <f>$L$5*7</f>
        <v>602.42</v>
      </c>
      <c r="AX13" s="130">
        <f>$L$5*3+$M$5*4</f>
        <v>580.18</v>
      </c>
      <c r="AY13" s="130">
        <f>$M$5*7</f>
        <v>563.5</v>
      </c>
      <c r="AZ13" s="130">
        <f>$M$5*7</f>
        <v>563.5</v>
      </c>
      <c r="BA13" s="130">
        <f>$M$5*7</f>
        <v>563.5</v>
      </c>
      <c r="BB13" s="130">
        <f>SUM(B13:BA13)</f>
        <v>28915.9</v>
      </c>
    </row>
    <row r="14" spans="1:54">
      <c r="A14" s="131" t="s">
        <v>339</v>
      </c>
      <c r="B14" s="9">
        <f>B52</f>
        <v>5530553.32</v>
      </c>
      <c r="C14" s="9">
        <f t="shared" ref="C14:J14" si="3">C52</f>
        <v>4852687.65</v>
      </c>
      <c r="D14" s="9">
        <f t="shared" si="3"/>
        <v>6290487.22</v>
      </c>
      <c r="E14" s="9">
        <f t="shared" si="3"/>
        <v>6214755.63</v>
      </c>
      <c r="F14" s="9">
        <f t="shared" si="3"/>
        <v>6629699.8</v>
      </c>
      <c r="G14" s="9">
        <f t="shared" si="3"/>
        <v>5427768.54</v>
      </c>
      <c r="H14" s="9">
        <f t="shared" si="3"/>
        <v>5318554.29</v>
      </c>
      <c r="I14" s="9">
        <f t="shared" si="3"/>
        <v>1824749.35</v>
      </c>
      <c r="J14" s="9">
        <f t="shared" si="3"/>
        <v>1310246.25</v>
      </c>
      <c r="K14" s="9">
        <f t="shared" ref="K14:BA14" si="4">K52</f>
        <v>4157012.56</v>
      </c>
      <c r="L14" s="9">
        <f t="shared" si="4"/>
        <v>5510973.95</v>
      </c>
      <c r="M14" s="9">
        <f t="shared" si="4"/>
        <v>5632148.84</v>
      </c>
      <c r="N14" s="9">
        <f t="shared" si="4"/>
        <v>5469073.15</v>
      </c>
      <c r="O14" s="9">
        <f t="shared" si="4"/>
        <v>6106479.43</v>
      </c>
      <c r="P14" s="9">
        <f t="shared" si="4"/>
        <v>5275420.74</v>
      </c>
      <c r="Q14" s="9">
        <f t="shared" si="4"/>
        <v>6574471.76</v>
      </c>
      <c r="R14" s="9">
        <f t="shared" si="4"/>
        <v>6968013.61</v>
      </c>
      <c r="S14" s="9">
        <f t="shared" si="4"/>
        <v>6378639.27</v>
      </c>
      <c r="T14" s="9">
        <f t="shared" si="4"/>
        <v>3681903.75</v>
      </c>
      <c r="U14" s="9">
        <f t="shared" si="4"/>
        <v>0</v>
      </c>
      <c r="V14" s="9">
        <f t="shared" si="4"/>
        <v>0</v>
      </c>
      <c r="W14" s="9">
        <f t="shared" si="4"/>
        <v>0</v>
      </c>
      <c r="X14" s="9">
        <f t="shared" si="4"/>
        <v>0</v>
      </c>
      <c r="Y14" s="9">
        <f t="shared" si="4"/>
        <v>0</v>
      </c>
      <c r="Z14" s="9">
        <f t="shared" si="4"/>
        <v>0</v>
      </c>
      <c r="AA14" s="9">
        <f t="shared" si="4"/>
        <v>0</v>
      </c>
      <c r="AB14" s="9">
        <f t="shared" si="4"/>
        <v>0</v>
      </c>
      <c r="AC14" s="9">
        <f t="shared" si="4"/>
        <v>0</v>
      </c>
      <c r="AD14" s="9">
        <f t="shared" si="4"/>
        <v>0</v>
      </c>
      <c r="AE14" s="9">
        <f t="shared" si="4"/>
        <v>0</v>
      </c>
      <c r="AF14" s="9">
        <f t="shared" si="4"/>
        <v>0</v>
      </c>
      <c r="AG14" s="9">
        <f t="shared" si="4"/>
        <v>0</v>
      </c>
      <c r="AH14" s="9">
        <f t="shared" si="4"/>
        <v>0</v>
      </c>
      <c r="AI14" s="9">
        <f t="shared" si="4"/>
        <v>0</v>
      </c>
      <c r="AJ14" s="9">
        <f t="shared" si="4"/>
        <v>0</v>
      </c>
      <c r="AK14" s="9">
        <f t="shared" si="4"/>
        <v>0</v>
      </c>
      <c r="AL14" s="9">
        <f t="shared" si="4"/>
        <v>0</v>
      </c>
      <c r="AM14" s="9">
        <f t="shared" si="4"/>
        <v>0</v>
      </c>
      <c r="AN14" s="9">
        <f t="shared" si="4"/>
        <v>0</v>
      </c>
      <c r="AO14" s="9">
        <f t="shared" si="4"/>
        <v>0</v>
      </c>
      <c r="AP14" s="9">
        <f t="shared" si="4"/>
        <v>0</v>
      </c>
      <c r="AQ14" s="9">
        <f t="shared" si="4"/>
        <v>0</v>
      </c>
      <c r="AR14" s="9">
        <f t="shared" si="4"/>
        <v>0</v>
      </c>
      <c r="AS14" s="9">
        <f t="shared" si="4"/>
        <v>0</v>
      </c>
      <c r="AT14" s="9">
        <f t="shared" si="4"/>
        <v>0</v>
      </c>
      <c r="AU14" s="9">
        <f t="shared" si="4"/>
        <v>0</v>
      </c>
      <c r="AV14" s="9">
        <f t="shared" si="4"/>
        <v>0</v>
      </c>
      <c r="AW14" s="9">
        <f t="shared" si="4"/>
        <v>0</v>
      </c>
      <c r="AX14" s="9">
        <f t="shared" si="4"/>
        <v>0</v>
      </c>
      <c r="AY14" s="9">
        <f t="shared" si="4"/>
        <v>0</v>
      </c>
      <c r="AZ14" s="9">
        <f t="shared" si="4"/>
        <v>0</v>
      </c>
      <c r="BA14" s="9">
        <f t="shared" si="4"/>
        <v>0</v>
      </c>
      <c r="BB14" s="8">
        <f>SUM(B14:BA14)</f>
        <v>99153639.11</v>
      </c>
    </row>
    <row r="15" spans="1:54">
      <c r="A15" s="132" t="s">
        <v>340</v>
      </c>
      <c r="B15" s="133">
        <f t="shared" ref="B15:O15" si="5">B14/(B13*10000)</f>
        <v>1.0799</v>
      </c>
      <c r="C15" s="133">
        <f t="shared" si="5"/>
        <v>0.9476</v>
      </c>
      <c r="D15" s="133">
        <f t="shared" si="5"/>
        <v>1.2283</v>
      </c>
      <c r="E15" s="133">
        <f t="shared" si="5"/>
        <v>1.2135</v>
      </c>
      <c r="F15" s="133">
        <f t="shared" si="5"/>
        <v>1.476</v>
      </c>
      <c r="G15" s="133">
        <f t="shared" si="5"/>
        <v>1.3504</v>
      </c>
      <c r="H15" s="133">
        <f t="shared" si="5"/>
        <v>1.3232</v>
      </c>
      <c r="I15" s="133">
        <f t="shared" si="5"/>
        <v>0.454</v>
      </c>
      <c r="J15" s="133">
        <f t="shared" si="5"/>
        <v>0.2917</v>
      </c>
      <c r="K15" s="133">
        <f t="shared" si="5"/>
        <v>0.7332</v>
      </c>
      <c r="L15" s="133">
        <f t="shared" si="5"/>
        <v>0.972</v>
      </c>
      <c r="M15" s="133">
        <f t="shared" si="5"/>
        <v>0.9933</v>
      </c>
      <c r="N15" s="133">
        <f t="shared" si="5"/>
        <v>0.9805</v>
      </c>
      <c r="O15" s="133">
        <f t="shared" si="5"/>
        <v>1.142</v>
      </c>
      <c r="P15" s="133">
        <f t="shared" ref="P15:BA15" si="6">P14/(P13*10000)</f>
        <v>0.9866</v>
      </c>
      <c r="Q15" s="133">
        <f t="shared" si="6"/>
        <v>1.2295</v>
      </c>
      <c r="R15" s="133">
        <f t="shared" si="6"/>
        <v>1.3031</v>
      </c>
      <c r="S15" s="133">
        <f t="shared" si="6"/>
        <v>1.1872</v>
      </c>
      <c r="T15" s="133">
        <f t="shared" si="6"/>
        <v>0.6664</v>
      </c>
      <c r="U15" s="133">
        <f t="shared" si="6"/>
        <v>0</v>
      </c>
      <c r="V15" s="133">
        <f t="shared" si="6"/>
        <v>0</v>
      </c>
      <c r="W15" s="133">
        <f t="shared" si="6"/>
        <v>0</v>
      </c>
      <c r="X15" s="133">
        <f t="shared" si="6"/>
        <v>0</v>
      </c>
      <c r="Y15" s="133">
        <f t="shared" si="6"/>
        <v>0</v>
      </c>
      <c r="Z15" s="133">
        <f t="shared" si="6"/>
        <v>0</v>
      </c>
      <c r="AA15" s="133">
        <f t="shared" si="6"/>
        <v>0</v>
      </c>
      <c r="AB15" s="133">
        <f t="shared" si="6"/>
        <v>0</v>
      </c>
      <c r="AC15" s="133">
        <f t="shared" si="6"/>
        <v>0</v>
      </c>
      <c r="AD15" s="133">
        <f t="shared" si="6"/>
        <v>0</v>
      </c>
      <c r="AE15" s="133">
        <f t="shared" si="6"/>
        <v>0</v>
      </c>
      <c r="AF15" s="133">
        <f t="shared" si="6"/>
        <v>0</v>
      </c>
      <c r="AG15" s="133">
        <f t="shared" si="6"/>
        <v>0</v>
      </c>
      <c r="AH15" s="133">
        <f t="shared" si="6"/>
        <v>0</v>
      </c>
      <c r="AI15" s="133">
        <f t="shared" si="6"/>
        <v>0</v>
      </c>
      <c r="AJ15" s="133">
        <f t="shared" si="6"/>
        <v>0</v>
      </c>
      <c r="AK15" s="133">
        <f t="shared" si="6"/>
        <v>0</v>
      </c>
      <c r="AL15" s="133">
        <f t="shared" si="6"/>
        <v>0</v>
      </c>
      <c r="AM15" s="133">
        <f t="shared" si="6"/>
        <v>0</v>
      </c>
      <c r="AN15" s="133">
        <f t="shared" si="6"/>
        <v>0</v>
      </c>
      <c r="AO15" s="133">
        <f t="shared" si="6"/>
        <v>0</v>
      </c>
      <c r="AP15" s="133">
        <f t="shared" si="6"/>
        <v>0</v>
      </c>
      <c r="AQ15" s="133">
        <f t="shared" si="6"/>
        <v>0</v>
      </c>
      <c r="AR15" s="133">
        <f t="shared" si="6"/>
        <v>0</v>
      </c>
      <c r="AS15" s="133">
        <f t="shared" si="6"/>
        <v>0</v>
      </c>
      <c r="AT15" s="133">
        <f t="shared" si="6"/>
        <v>0</v>
      </c>
      <c r="AU15" s="133">
        <f t="shared" si="6"/>
        <v>0</v>
      </c>
      <c r="AV15" s="133">
        <f t="shared" si="6"/>
        <v>0</v>
      </c>
      <c r="AW15" s="133">
        <f t="shared" si="6"/>
        <v>0</v>
      </c>
      <c r="AX15" s="133">
        <f t="shared" si="6"/>
        <v>0</v>
      </c>
      <c r="AY15" s="133">
        <f t="shared" si="6"/>
        <v>0</v>
      </c>
      <c r="AZ15" s="133">
        <f t="shared" si="6"/>
        <v>0</v>
      </c>
      <c r="BA15" s="133">
        <f t="shared" si="6"/>
        <v>0</v>
      </c>
      <c r="BB15" s="129"/>
    </row>
    <row r="16" customFormat="1" spans="1:54">
      <c r="A16" s="134"/>
      <c r="B16" s="135"/>
      <c r="C16" s="136"/>
      <c r="D16" s="136"/>
      <c r="E16" s="136"/>
      <c r="F16" s="136"/>
      <c r="G16" s="136"/>
      <c r="H16" s="136"/>
      <c r="I16" s="136"/>
      <c r="J16" s="1"/>
      <c r="K16" s="1"/>
      <c r="L16" s="1"/>
      <c r="M16" s="1"/>
    </row>
    <row r="17" spans="1:13">
      <c r="A17" s="137" t="s">
        <v>341</v>
      </c>
      <c r="B17" s="138">
        <f>BB14/(SUMIF(B14:BA14,"&lt;&gt;0 ",B13:BA13)*10000)</f>
        <v>1.0286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31" t="s">
        <v>342</v>
      </c>
      <c r="B18" s="139">
        <f>BE52</f>
        <v>0.3419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40" t="s">
        <v>343</v>
      </c>
      <c r="B19" s="141">
        <f ca="1">BF52</f>
        <v>0.3654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21"/>
      <c r="B20" s="13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2" t="s">
        <v>344</v>
      </c>
      <c r="B21" s="142" t="s">
        <v>345</v>
      </c>
      <c r="C21" s="143" t="s">
        <v>346</v>
      </c>
      <c r="D21" s="143" t="s">
        <v>347</v>
      </c>
      <c r="E21" s="143" t="s">
        <v>348</v>
      </c>
      <c r="F21" s="144" t="s">
        <v>349</v>
      </c>
      <c r="G21" s="53" t="s">
        <v>350</v>
      </c>
      <c r="H21" s="1"/>
      <c r="I21" s="1"/>
      <c r="J21" s="1"/>
      <c r="K21" s="1"/>
      <c r="L21" s="1"/>
    </row>
    <row r="22" spans="1:13">
      <c r="A22" s="6" t="s">
        <v>12</v>
      </c>
      <c r="B22" s="40">
        <f>BB35</f>
        <v>10160</v>
      </c>
      <c r="C22" s="145">
        <f>BC35</f>
        <v>-6505</v>
      </c>
      <c r="D22" s="42">
        <f>BB45/10000</f>
        <v>1235</v>
      </c>
      <c r="E22" s="145">
        <f>BC45/10000</f>
        <v>484</v>
      </c>
      <c r="F22" s="146">
        <f>'2026年第19周'!T4</f>
        <v>344</v>
      </c>
      <c r="G22" s="145">
        <f>'2026年第19周'!Y4</f>
        <v>-556</v>
      </c>
      <c r="H22" s="1"/>
      <c r="I22" s="1"/>
      <c r="J22" s="1"/>
      <c r="K22" s="1"/>
      <c r="L22" s="1"/>
    </row>
    <row r="23" spans="1:13">
      <c r="A23" s="6" t="s">
        <v>19</v>
      </c>
      <c r="B23" s="40">
        <f t="shared" ref="B23:B29" si="7">BB36</f>
        <v>51345</v>
      </c>
      <c r="C23" s="145">
        <f t="shared" ref="C23:C29" si="8">BC36</f>
        <v>-276</v>
      </c>
      <c r="D23" s="42">
        <f t="shared" ref="D23:D29" si="9">BB46/10000</f>
        <v>1194</v>
      </c>
      <c r="E23" s="145">
        <f t="shared" ref="E23:E29" si="10">BC46/10000</f>
        <v>-92</v>
      </c>
      <c r="F23" s="146">
        <f>'2026年第19周'!T5</f>
        <v>2139</v>
      </c>
      <c r="G23" s="145">
        <f>'2026年第19周'!Y5</f>
        <v>-361</v>
      </c>
      <c r="H23" s="1"/>
      <c r="I23" s="1"/>
      <c r="J23" s="1"/>
      <c r="K23" s="1"/>
      <c r="L23" s="1"/>
    </row>
    <row r="24" spans="1:13">
      <c r="A24" s="6" t="s">
        <v>30</v>
      </c>
      <c r="B24" s="40">
        <f t="shared" si="7"/>
        <v>38596</v>
      </c>
      <c r="C24" s="145">
        <f t="shared" si="8"/>
        <v>-8326</v>
      </c>
      <c r="D24" s="42">
        <f t="shared" si="9"/>
        <v>1156</v>
      </c>
      <c r="E24" s="145">
        <f t="shared" si="10"/>
        <v>-191</v>
      </c>
      <c r="F24" s="146">
        <f>'2026年第19周'!T6</f>
        <v>1471</v>
      </c>
      <c r="G24" s="145">
        <f>'2026年第19周'!Y6</f>
        <v>-1529</v>
      </c>
      <c r="H24" s="1"/>
      <c r="I24" s="1"/>
      <c r="J24" s="1"/>
      <c r="K24" s="1"/>
      <c r="L24" s="1"/>
    </row>
    <row r="25" spans="1:13">
      <c r="A25" s="6" t="s">
        <v>351</v>
      </c>
      <c r="B25" s="40">
        <f t="shared" si="7"/>
        <v>24386</v>
      </c>
      <c r="C25" s="145">
        <f t="shared" si="8"/>
        <v>3060</v>
      </c>
      <c r="D25" s="42">
        <f t="shared" si="9"/>
        <v>826</v>
      </c>
      <c r="E25" s="145">
        <f t="shared" si="10"/>
        <v>70</v>
      </c>
      <c r="F25" s="146">
        <f>'2026年第19周'!T7</f>
        <v>1134</v>
      </c>
      <c r="G25" s="145">
        <f>'2026年第19周'!Y7</f>
        <v>34</v>
      </c>
      <c r="H25" s="1"/>
      <c r="I25" s="1"/>
      <c r="J25" s="1"/>
      <c r="K25" s="1"/>
      <c r="L25" s="1"/>
    </row>
    <row r="26" spans="1:13">
      <c r="A26" s="6" t="s">
        <v>352</v>
      </c>
      <c r="B26" s="40">
        <f t="shared" si="7"/>
        <v>39046</v>
      </c>
      <c r="C26" s="145">
        <f t="shared" si="8"/>
        <v>10062</v>
      </c>
      <c r="D26" s="42">
        <f t="shared" si="9"/>
        <v>1279</v>
      </c>
      <c r="E26" s="145">
        <f t="shared" si="10"/>
        <v>132</v>
      </c>
      <c r="F26" s="146">
        <f>'2026年第19周'!T8</f>
        <v>1550</v>
      </c>
      <c r="G26" s="145">
        <f>'2026年第19周'!Y8</f>
        <v>50</v>
      </c>
      <c r="H26" s="1"/>
      <c r="I26" s="1"/>
      <c r="J26" s="1"/>
      <c r="K26" s="1"/>
      <c r="L26" s="1"/>
    </row>
    <row r="27" spans="1:13">
      <c r="A27" s="6" t="s">
        <v>9</v>
      </c>
      <c r="B27" s="40">
        <f t="shared" si="7"/>
        <v>11367</v>
      </c>
      <c r="C27" s="145">
        <f t="shared" si="8"/>
        <v>4307</v>
      </c>
      <c r="D27" s="42">
        <f t="shared" si="9"/>
        <v>593</v>
      </c>
      <c r="E27" s="145">
        <f t="shared" si="10"/>
        <v>95</v>
      </c>
      <c r="F27" s="146">
        <f>'2026年第19周'!T9</f>
        <v>190</v>
      </c>
      <c r="G27" s="145">
        <f>'2026年第19周'!Y9</f>
        <v>-410</v>
      </c>
      <c r="H27" s="1"/>
      <c r="I27" s="1"/>
      <c r="J27" s="1"/>
      <c r="K27" s="1"/>
      <c r="L27" s="1"/>
    </row>
    <row r="28" spans="1:13">
      <c r="A28" s="6" t="s">
        <v>205</v>
      </c>
      <c r="B28" s="40">
        <f t="shared" si="7"/>
        <v>174900</v>
      </c>
      <c r="C28" s="145">
        <f t="shared" si="8"/>
        <v>2322</v>
      </c>
      <c r="D28" s="42">
        <f t="shared" si="9"/>
        <v>6283</v>
      </c>
      <c r="E28" s="145">
        <f t="shared" si="10"/>
        <v>498</v>
      </c>
      <c r="F28" s="146">
        <f>'2026年第19周'!T10</f>
        <v>6828</v>
      </c>
      <c r="G28" s="145">
        <f>'2026年第19周'!Y10</f>
        <v>-2772</v>
      </c>
      <c r="H28" s="1"/>
      <c r="I28" s="1"/>
      <c r="J28" s="1"/>
      <c r="K28" s="1"/>
      <c r="L28" s="1"/>
    </row>
    <row r="29" spans="1:13">
      <c r="A29" s="147" t="s">
        <v>353</v>
      </c>
      <c r="B29" s="47">
        <f t="shared" si="7"/>
        <v>333785</v>
      </c>
      <c r="C29" s="148">
        <f t="shared" si="8"/>
        <v>48141</v>
      </c>
      <c r="D29" s="49">
        <f t="shared" si="9"/>
        <v>9915</v>
      </c>
      <c r="E29" s="148">
        <f t="shared" si="10"/>
        <v>1506</v>
      </c>
      <c r="F29" s="149">
        <f>'2026年第19周'!T36</f>
        <v>13577</v>
      </c>
      <c r="G29" s="9"/>
      <c r="H29" s="1"/>
      <c r="I29" s="1"/>
      <c r="J29" s="1"/>
      <c r="K29" s="1"/>
      <c r="L29" s="1"/>
    </row>
    <row r="30" spans="1:13">
      <c r="B30"/>
    </row>
    <row r="31" spans="1:13">
      <c r="B31"/>
    </row>
    <row r="32" spans="1:13">
      <c r="B32"/>
    </row>
    <row r="34" spans="1:58">
      <c r="A34" s="12" t="s">
        <v>354</v>
      </c>
      <c r="B34" s="3" t="s">
        <v>266</v>
      </c>
      <c r="C34" s="3" t="s">
        <v>267</v>
      </c>
      <c r="D34" s="3" t="s">
        <v>268</v>
      </c>
      <c r="E34" s="3" t="s">
        <v>269</v>
      </c>
      <c r="F34" s="3" t="s">
        <v>270</v>
      </c>
      <c r="G34" s="3" t="s">
        <v>271</v>
      </c>
      <c r="H34" s="3" t="s">
        <v>272</v>
      </c>
      <c r="I34" s="3" t="s">
        <v>273</v>
      </c>
      <c r="J34" s="3" t="s">
        <v>274</v>
      </c>
      <c r="K34" s="3" t="s">
        <v>275</v>
      </c>
      <c r="L34" s="3" t="s">
        <v>276</v>
      </c>
      <c r="M34" s="3" t="s">
        <v>277</v>
      </c>
      <c r="N34" s="3" t="s">
        <v>278</v>
      </c>
      <c r="O34" s="3" t="s">
        <v>279</v>
      </c>
      <c r="P34" s="3" t="s">
        <v>280</v>
      </c>
      <c r="Q34" s="3" t="s">
        <v>281</v>
      </c>
      <c r="R34" s="3" t="s">
        <v>282</v>
      </c>
      <c r="S34" s="3" t="s">
        <v>283</v>
      </c>
      <c r="T34" s="3" t="s">
        <v>284</v>
      </c>
      <c r="U34" s="3" t="s">
        <v>285</v>
      </c>
      <c r="V34" s="3" t="s">
        <v>286</v>
      </c>
      <c r="W34" s="3" t="s">
        <v>287</v>
      </c>
      <c r="X34" s="3" t="s">
        <v>288</v>
      </c>
      <c r="Y34" s="3" t="s">
        <v>289</v>
      </c>
      <c r="Z34" s="3" t="s">
        <v>290</v>
      </c>
      <c r="AA34" s="3" t="s">
        <v>291</v>
      </c>
      <c r="AB34" s="3" t="s">
        <v>292</v>
      </c>
      <c r="AC34" s="3" t="s">
        <v>293</v>
      </c>
      <c r="AD34" s="3" t="s">
        <v>294</v>
      </c>
      <c r="AE34" s="3" t="s">
        <v>295</v>
      </c>
      <c r="AF34" s="3" t="s">
        <v>296</v>
      </c>
      <c r="AG34" s="3" t="s">
        <v>297</v>
      </c>
      <c r="AH34" s="3" t="s">
        <v>298</v>
      </c>
      <c r="AI34" s="3" t="s">
        <v>299</v>
      </c>
      <c r="AJ34" s="3" t="s">
        <v>300</v>
      </c>
      <c r="AK34" s="3" t="s">
        <v>301</v>
      </c>
      <c r="AL34" s="3" t="s">
        <v>302</v>
      </c>
      <c r="AM34" s="3" t="s">
        <v>303</v>
      </c>
      <c r="AN34" s="3" t="s">
        <v>304</v>
      </c>
      <c r="AO34" s="3" t="s">
        <v>305</v>
      </c>
      <c r="AP34" s="3" t="s">
        <v>306</v>
      </c>
      <c r="AQ34" s="3" t="s">
        <v>307</v>
      </c>
      <c r="AR34" s="3" t="s">
        <v>308</v>
      </c>
      <c r="AS34" s="3" t="s">
        <v>309</v>
      </c>
      <c r="AT34" s="3" t="s">
        <v>310</v>
      </c>
      <c r="AU34" s="3" t="s">
        <v>311</v>
      </c>
      <c r="AV34" s="3" t="s">
        <v>312</v>
      </c>
      <c r="AW34" s="3" t="s">
        <v>313</v>
      </c>
      <c r="AX34" s="3" t="s">
        <v>314</v>
      </c>
      <c r="AY34" s="3" t="s">
        <v>315</v>
      </c>
      <c r="AZ34" s="3" t="s">
        <v>316</v>
      </c>
      <c r="BA34" s="3" t="s">
        <v>317</v>
      </c>
      <c r="BB34" s="3" t="s">
        <v>184</v>
      </c>
      <c r="BC34" s="150" t="s">
        <v>355</v>
      </c>
    </row>
    <row r="35" spans="1:58">
      <c r="A35" s="6" t="s">
        <v>12</v>
      </c>
      <c r="B35" s="3">
        <v>781</v>
      </c>
      <c r="C35" s="3">
        <v>710</v>
      </c>
      <c r="D35" s="3">
        <v>634</v>
      </c>
      <c r="E35" s="3">
        <v>686</v>
      </c>
      <c r="F35" s="3">
        <v>618</v>
      </c>
      <c r="G35" s="3">
        <v>569</v>
      </c>
      <c r="H35" s="3">
        <v>589</v>
      </c>
      <c r="I35" s="3">
        <v>50</v>
      </c>
      <c r="J35" s="3">
        <v>182</v>
      </c>
      <c r="K35" s="3">
        <v>446</v>
      </c>
      <c r="L35" s="3">
        <v>435</v>
      </c>
      <c r="M35" s="3">
        <v>576</v>
      </c>
      <c r="N35" s="3">
        <v>613</v>
      </c>
      <c r="O35" s="3">
        <v>694</v>
      </c>
      <c r="P35" s="3">
        <v>356</v>
      </c>
      <c r="Q35" s="3">
        <v>691</v>
      </c>
      <c r="R35" s="3">
        <v>559</v>
      </c>
      <c r="S35" s="3">
        <v>627</v>
      </c>
      <c r="T35" s="3">
        <v>344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0</v>
      </c>
      <c r="AZ35" s="3">
        <v>0</v>
      </c>
      <c r="BA35" s="3">
        <v>0</v>
      </c>
      <c r="BB35" s="3">
        <f>SUM(B35:BA35)</f>
        <v>10160</v>
      </c>
      <c r="BC35" s="151">
        <f>BB35-(SUMIF(B35:BA35,"&lt;&gt;0",B100:BA100))</f>
        <v>-6505</v>
      </c>
    </row>
    <row r="36" spans="1:58">
      <c r="A36" s="6" t="s">
        <v>19</v>
      </c>
      <c r="B36" s="3">
        <v>3534</v>
      </c>
      <c r="C36" s="3">
        <v>2523</v>
      </c>
      <c r="D36" s="3">
        <v>3511</v>
      </c>
      <c r="E36" s="3">
        <v>2946</v>
      </c>
      <c r="F36" s="3">
        <v>2919</v>
      </c>
      <c r="G36" s="3">
        <v>2620</v>
      </c>
      <c r="H36" s="3">
        <v>2562</v>
      </c>
      <c r="I36" s="3">
        <v>555</v>
      </c>
      <c r="J36" s="3">
        <v>336</v>
      </c>
      <c r="K36" s="3">
        <v>2462</v>
      </c>
      <c r="L36" s="3">
        <v>3368</v>
      </c>
      <c r="M36" s="3">
        <v>3252</v>
      </c>
      <c r="N36" s="3">
        <v>2947</v>
      </c>
      <c r="O36" s="3">
        <v>3285</v>
      </c>
      <c r="P36" s="3">
        <v>3088</v>
      </c>
      <c r="Q36" s="3">
        <v>3153</v>
      </c>
      <c r="R36" s="3">
        <v>3148</v>
      </c>
      <c r="S36" s="3">
        <v>2997</v>
      </c>
      <c r="T36" s="3">
        <v>2139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>
        <f t="shared" ref="BB36:BB42" si="11">SUM(B36:BA36)</f>
        <v>51345</v>
      </c>
      <c r="BC36" s="151">
        <f t="shared" ref="BC36:BC42" si="12">BB36-(SUMIF(B36:BA36,"&lt;&gt;0",B101:BA101))</f>
        <v>-276</v>
      </c>
    </row>
    <row r="37" spans="1:58">
      <c r="A37" s="6" t="s">
        <v>30</v>
      </c>
      <c r="B37" s="3">
        <v>2618</v>
      </c>
      <c r="C37" s="3">
        <v>2250</v>
      </c>
      <c r="D37" s="3">
        <v>2408</v>
      </c>
      <c r="E37" s="3">
        <v>2412</v>
      </c>
      <c r="F37" s="3">
        <v>2609</v>
      </c>
      <c r="G37" s="3">
        <v>1913</v>
      </c>
      <c r="H37" s="3">
        <v>1391</v>
      </c>
      <c r="I37" s="3">
        <v>225</v>
      </c>
      <c r="J37" s="3">
        <v>204</v>
      </c>
      <c r="K37" s="3">
        <v>1396</v>
      </c>
      <c r="L37" s="3">
        <v>2577</v>
      </c>
      <c r="M37" s="3">
        <v>2345</v>
      </c>
      <c r="N37" s="3">
        <v>2907</v>
      </c>
      <c r="O37" s="3">
        <v>2347</v>
      </c>
      <c r="P37" s="3">
        <v>2257</v>
      </c>
      <c r="Q37" s="3">
        <v>2447</v>
      </c>
      <c r="R37" s="3">
        <v>2286</v>
      </c>
      <c r="S37" s="3">
        <v>2533</v>
      </c>
      <c r="T37" s="3">
        <v>1471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>
        <f t="shared" si="11"/>
        <v>38596</v>
      </c>
      <c r="BC37" s="151">
        <f t="shared" si="12"/>
        <v>-8326</v>
      </c>
    </row>
    <row r="38" spans="1:58">
      <c r="A38" s="6" t="s">
        <v>351</v>
      </c>
      <c r="B38" s="3">
        <v>1141</v>
      </c>
      <c r="C38" s="3">
        <v>1225</v>
      </c>
      <c r="D38" s="3">
        <v>1596</v>
      </c>
      <c r="E38" s="3">
        <v>1220</v>
      </c>
      <c r="F38" s="3">
        <v>1478</v>
      </c>
      <c r="G38" s="3">
        <v>1750</v>
      </c>
      <c r="H38" s="3">
        <v>1847</v>
      </c>
      <c r="I38" s="3">
        <v>732</v>
      </c>
      <c r="J38" s="3">
        <v>403</v>
      </c>
      <c r="K38" s="3">
        <v>811</v>
      </c>
      <c r="L38" s="3">
        <v>1294</v>
      </c>
      <c r="M38" s="3">
        <v>1251</v>
      </c>
      <c r="N38" s="3">
        <v>1523</v>
      </c>
      <c r="O38" s="3">
        <v>1443</v>
      </c>
      <c r="P38" s="3">
        <v>1479</v>
      </c>
      <c r="Q38" s="3">
        <v>1690</v>
      </c>
      <c r="R38" s="3">
        <v>995</v>
      </c>
      <c r="S38" s="3">
        <v>1374</v>
      </c>
      <c r="T38" s="3">
        <v>1134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>
        <f t="shared" si="11"/>
        <v>24386</v>
      </c>
      <c r="BC38" s="151">
        <f t="shared" si="12"/>
        <v>3060</v>
      </c>
    </row>
    <row r="39" spans="1:58">
      <c r="A39" s="6" t="s">
        <v>352</v>
      </c>
      <c r="B39" s="3">
        <v>2211</v>
      </c>
      <c r="C39" s="3">
        <v>1969</v>
      </c>
      <c r="D39" s="3">
        <v>2109</v>
      </c>
      <c r="E39" s="3">
        <v>2356</v>
      </c>
      <c r="F39" s="3">
        <v>1934</v>
      </c>
      <c r="G39" s="3">
        <v>2020</v>
      </c>
      <c r="H39" s="3">
        <v>1953</v>
      </c>
      <c r="I39" s="3">
        <v>1402</v>
      </c>
      <c r="J39" s="3">
        <v>1071</v>
      </c>
      <c r="K39" s="3">
        <v>2409</v>
      </c>
      <c r="L39" s="3">
        <v>2299</v>
      </c>
      <c r="M39" s="3">
        <v>2356</v>
      </c>
      <c r="N39" s="3">
        <v>2241</v>
      </c>
      <c r="O39" s="3">
        <v>2519</v>
      </c>
      <c r="P39" s="3">
        <v>1942</v>
      </c>
      <c r="Q39" s="3">
        <v>2566</v>
      </c>
      <c r="R39" s="3">
        <v>2168</v>
      </c>
      <c r="S39" s="3">
        <v>1971</v>
      </c>
      <c r="T39" s="3">
        <v>1550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>
        <f t="shared" si="11"/>
        <v>39046</v>
      </c>
      <c r="BC39" s="151">
        <f t="shared" si="12"/>
        <v>10062</v>
      </c>
    </row>
    <row r="40" spans="1:58">
      <c r="A40" s="6" t="s">
        <v>9</v>
      </c>
      <c r="B40" s="3">
        <v>801</v>
      </c>
      <c r="C40" s="3">
        <v>392</v>
      </c>
      <c r="D40" s="3">
        <v>607</v>
      </c>
      <c r="E40" s="3">
        <v>687</v>
      </c>
      <c r="F40" s="3">
        <v>809</v>
      </c>
      <c r="G40" s="3">
        <v>756</v>
      </c>
      <c r="H40" s="3">
        <v>869</v>
      </c>
      <c r="I40" s="3">
        <v>122</v>
      </c>
      <c r="J40" s="3">
        <v>74</v>
      </c>
      <c r="K40" s="3">
        <v>666</v>
      </c>
      <c r="L40" s="3">
        <v>511</v>
      </c>
      <c r="M40" s="3">
        <v>623</v>
      </c>
      <c r="N40" s="3">
        <v>609</v>
      </c>
      <c r="O40" s="3">
        <v>1161</v>
      </c>
      <c r="P40" s="3">
        <v>273</v>
      </c>
      <c r="Q40" s="3">
        <v>353</v>
      </c>
      <c r="R40" s="3">
        <v>1196</v>
      </c>
      <c r="S40" s="3">
        <v>668</v>
      </c>
      <c r="T40" s="3">
        <v>190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>
        <f t="shared" si="11"/>
        <v>11367</v>
      </c>
      <c r="BC40" s="151">
        <f t="shared" si="12"/>
        <v>4307</v>
      </c>
    </row>
    <row r="41" spans="1:58">
      <c r="A41" s="6" t="s">
        <v>205</v>
      </c>
      <c r="B41" s="3">
        <v>11086</v>
      </c>
      <c r="C41" s="3">
        <v>9069</v>
      </c>
      <c r="D41" s="3">
        <v>10865</v>
      </c>
      <c r="E41" s="3">
        <v>10307</v>
      </c>
      <c r="F41" s="3">
        <v>10367</v>
      </c>
      <c r="G41" s="3">
        <v>9628</v>
      </c>
      <c r="H41" s="3">
        <v>9211</v>
      </c>
      <c r="I41" s="3">
        <v>3086</v>
      </c>
      <c r="J41" s="3">
        <v>2270</v>
      </c>
      <c r="K41" s="3">
        <v>8190</v>
      </c>
      <c r="L41" s="3">
        <v>10484</v>
      </c>
      <c r="M41" s="3">
        <v>10403</v>
      </c>
      <c r="N41" s="3">
        <v>10840</v>
      </c>
      <c r="O41" s="3">
        <v>11449</v>
      </c>
      <c r="P41" s="3">
        <v>9395</v>
      </c>
      <c r="Q41" s="3">
        <v>10900</v>
      </c>
      <c r="R41" s="3">
        <v>10352</v>
      </c>
      <c r="S41" s="3">
        <v>10170</v>
      </c>
      <c r="T41" s="3">
        <v>6828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>
        <f t="shared" si="11"/>
        <v>174900</v>
      </c>
      <c r="BC41" s="151">
        <f t="shared" si="12"/>
        <v>2322</v>
      </c>
    </row>
    <row r="42" customFormat="1" spans="1:58">
      <c r="A42" s="152" t="s">
        <v>353</v>
      </c>
      <c r="B42" s="153">
        <v>20047</v>
      </c>
      <c r="C42" s="153">
        <v>16564</v>
      </c>
      <c r="D42" s="153">
        <v>20018</v>
      </c>
      <c r="E42" s="153">
        <v>19403</v>
      </c>
      <c r="F42" s="153">
        <v>19359</v>
      </c>
      <c r="G42" s="153">
        <v>18426</v>
      </c>
      <c r="H42" s="153">
        <v>18477</v>
      </c>
      <c r="I42" s="153">
        <v>6811</v>
      </c>
      <c r="J42" s="154">
        <v>4314</v>
      </c>
      <c r="K42" s="154">
        <v>15456</v>
      </c>
      <c r="L42" s="154">
        <v>20707</v>
      </c>
      <c r="M42" s="154">
        <v>20498</v>
      </c>
      <c r="N42" s="154">
        <v>20432</v>
      </c>
      <c r="O42" s="154">
        <v>21478</v>
      </c>
      <c r="P42" s="154">
        <v>17627</v>
      </c>
      <c r="Q42" s="154">
        <v>20939</v>
      </c>
      <c r="R42" s="154">
        <v>20105</v>
      </c>
      <c r="S42" s="155">
        <v>19547</v>
      </c>
      <c r="T42" s="154">
        <v>13577</v>
      </c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>
        <f t="shared" si="11"/>
        <v>333785</v>
      </c>
      <c r="BC42" s="156">
        <f t="shared" si="12"/>
        <v>48141</v>
      </c>
      <c r="BD42" t="s">
        <v>356</v>
      </c>
      <c r="BF42" s="157"/>
    </row>
    <row r="43" spans="1:58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46"/>
      <c r="BD43" t="s">
        <v>357</v>
      </c>
    </row>
    <row r="44" spans="1:58">
      <c r="A44" s="12" t="s">
        <v>358</v>
      </c>
      <c r="B44" s="3" t="s">
        <v>266</v>
      </c>
      <c r="C44" s="3" t="s">
        <v>267</v>
      </c>
      <c r="D44" s="3" t="s">
        <v>268</v>
      </c>
      <c r="E44" s="3" t="s">
        <v>269</v>
      </c>
      <c r="F44" s="3" t="s">
        <v>270</v>
      </c>
      <c r="G44" s="3" t="s">
        <v>271</v>
      </c>
      <c r="H44" s="3" t="s">
        <v>272</v>
      </c>
      <c r="I44" s="3" t="s">
        <v>273</v>
      </c>
      <c r="J44" s="3" t="s">
        <v>274</v>
      </c>
      <c r="K44" s="3" t="s">
        <v>275</v>
      </c>
      <c r="L44" s="3" t="s">
        <v>276</v>
      </c>
      <c r="M44" s="3" t="s">
        <v>277</v>
      </c>
      <c r="N44" s="3" t="s">
        <v>278</v>
      </c>
      <c r="O44" s="3" t="s">
        <v>279</v>
      </c>
      <c r="P44" s="3" t="s">
        <v>280</v>
      </c>
      <c r="Q44" s="3" t="s">
        <v>281</v>
      </c>
      <c r="R44" s="3" t="s">
        <v>282</v>
      </c>
      <c r="S44" s="3" t="s">
        <v>283</v>
      </c>
      <c r="T44" s="3" t="s">
        <v>284</v>
      </c>
      <c r="U44" s="3" t="s">
        <v>285</v>
      </c>
      <c r="V44" s="3" t="s">
        <v>286</v>
      </c>
      <c r="W44" s="3" t="s">
        <v>287</v>
      </c>
      <c r="X44" s="3" t="s">
        <v>288</v>
      </c>
      <c r="Y44" s="3" t="s">
        <v>289</v>
      </c>
      <c r="Z44" s="3" t="s">
        <v>290</v>
      </c>
      <c r="AA44" s="3" t="s">
        <v>291</v>
      </c>
      <c r="AB44" s="3" t="s">
        <v>292</v>
      </c>
      <c r="AC44" s="3" t="s">
        <v>293</v>
      </c>
      <c r="AD44" s="3" t="s">
        <v>294</v>
      </c>
      <c r="AE44" s="3" t="s">
        <v>295</v>
      </c>
      <c r="AF44" s="3" t="s">
        <v>296</v>
      </c>
      <c r="AG44" s="3" t="s">
        <v>297</v>
      </c>
      <c r="AH44" s="3" t="s">
        <v>298</v>
      </c>
      <c r="AI44" s="3" t="s">
        <v>299</v>
      </c>
      <c r="AJ44" s="3" t="s">
        <v>300</v>
      </c>
      <c r="AK44" s="3" t="s">
        <v>301</v>
      </c>
      <c r="AL44" s="3" t="s">
        <v>302</v>
      </c>
      <c r="AM44" s="3" t="s">
        <v>303</v>
      </c>
      <c r="AN44" s="3" t="s">
        <v>304</v>
      </c>
      <c r="AO44" s="3" t="s">
        <v>305</v>
      </c>
      <c r="AP44" s="3" t="s">
        <v>306</v>
      </c>
      <c r="AQ44" s="3" t="s">
        <v>307</v>
      </c>
      <c r="AR44" s="3" t="s">
        <v>308</v>
      </c>
      <c r="AS44" s="3" t="s">
        <v>309</v>
      </c>
      <c r="AT44" s="3" t="s">
        <v>310</v>
      </c>
      <c r="AU44" s="3" t="s">
        <v>311</v>
      </c>
      <c r="AV44" s="3" t="s">
        <v>312</v>
      </c>
      <c r="AW44" s="3" t="s">
        <v>313</v>
      </c>
      <c r="AX44" s="3" t="s">
        <v>314</v>
      </c>
      <c r="AY44" s="3" t="s">
        <v>315</v>
      </c>
      <c r="AZ44" s="3" t="s">
        <v>316</v>
      </c>
      <c r="BA44" s="3" t="s">
        <v>317</v>
      </c>
      <c r="BB44" s="3" t="s">
        <v>184</v>
      </c>
      <c r="BC44" s="144" t="s">
        <v>355</v>
      </c>
    </row>
    <row r="45" spans="1:58">
      <c r="A45" s="6" t="s">
        <v>12</v>
      </c>
      <c r="B45" s="3">
        <v>257454.83</v>
      </c>
      <c r="C45" s="3">
        <v>494272.15</v>
      </c>
      <c r="D45" s="3">
        <v>1054131.3</v>
      </c>
      <c r="E45" s="3">
        <v>1107480.18</v>
      </c>
      <c r="F45" s="3">
        <v>1327075.49</v>
      </c>
      <c r="G45" s="3">
        <v>421899.87</v>
      </c>
      <c r="H45" s="3">
        <v>331043.96</v>
      </c>
      <c r="I45" s="3">
        <v>16986.34</v>
      </c>
      <c r="J45" s="3">
        <v>131134.75</v>
      </c>
      <c r="K45" s="3">
        <v>243342.46</v>
      </c>
      <c r="L45" s="3">
        <v>242144.27</v>
      </c>
      <c r="M45" s="3">
        <v>345035.92</v>
      </c>
      <c r="N45" s="3">
        <v>323318.89</v>
      </c>
      <c r="O45" s="3">
        <v>662295.68</v>
      </c>
      <c r="P45" s="3">
        <v>751614.5</v>
      </c>
      <c r="Q45" s="3">
        <v>1142097.66</v>
      </c>
      <c r="R45" s="3">
        <v>1892854.14</v>
      </c>
      <c r="S45" s="3">
        <v>1388119.45</v>
      </c>
      <c r="T45" s="3">
        <v>216721.8</v>
      </c>
      <c r="U45" s="3"/>
      <c r="V45" s="3"/>
      <c r="W45" s="3"/>
      <c r="X45" s="3"/>
      <c r="Y45" s="3"/>
      <c r="Z45" s="3"/>
      <c r="AA45" s="4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>
        <f>SUM(B45:BA45)</f>
        <v>12349023.64</v>
      </c>
      <c r="BC45" s="158">
        <f>BB45-(SUMIF(B45:BA45,"&lt;&gt;0",B110:BA110))</f>
        <v>4839676</v>
      </c>
    </row>
    <row r="46" spans="1:58">
      <c r="A46" s="6" t="s">
        <v>19</v>
      </c>
      <c r="B46" s="3">
        <v>850408.98</v>
      </c>
      <c r="C46" s="3">
        <v>569018.76</v>
      </c>
      <c r="D46" s="3">
        <v>833531.29</v>
      </c>
      <c r="E46" s="3">
        <v>677114.84</v>
      </c>
      <c r="F46" s="3">
        <v>761824.89</v>
      </c>
      <c r="G46" s="3">
        <v>670480.99</v>
      </c>
      <c r="H46" s="3">
        <v>600611.47</v>
      </c>
      <c r="I46" s="3">
        <v>177803.02</v>
      </c>
      <c r="J46" s="3">
        <v>94957.43</v>
      </c>
      <c r="K46" s="3">
        <v>509760.05</v>
      </c>
      <c r="L46" s="3">
        <v>717742.63</v>
      </c>
      <c r="M46" s="3">
        <v>780496.58</v>
      </c>
      <c r="N46" s="3">
        <v>638699.17</v>
      </c>
      <c r="O46" s="3">
        <v>722678.24</v>
      </c>
      <c r="P46" s="3">
        <v>713124.51</v>
      </c>
      <c r="Q46" s="3">
        <v>687279.49</v>
      </c>
      <c r="R46" s="3">
        <v>783153.69</v>
      </c>
      <c r="S46" s="3">
        <v>677523.56</v>
      </c>
      <c r="T46" s="3">
        <v>469814.53</v>
      </c>
      <c r="U46" s="3"/>
      <c r="V46" s="3"/>
      <c r="W46" s="3"/>
      <c r="X46" s="3"/>
      <c r="Y46" s="3"/>
      <c r="Z46" s="3"/>
      <c r="AA46" s="4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>
        <f t="shared" ref="BB46:BB52" si="13">SUM(B46:BA46)</f>
        <v>11936024.12</v>
      </c>
      <c r="BC46" s="158">
        <f t="shared" ref="BC46:BC52" si="14">BB46-(SUMIF(B46:BA46,"&lt;&gt;0",B111:BA111))</f>
        <v>-922861</v>
      </c>
    </row>
    <row r="47" spans="1:58">
      <c r="A47" s="6" t="s">
        <v>30</v>
      </c>
      <c r="B47" s="3">
        <v>802134.31</v>
      </c>
      <c r="C47" s="3">
        <v>677238.06</v>
      </c>
      <c r="D47" s="3">
        <v>708527.66</v>
      </c>
      <c r="E47" s="3">
        <v>804663.46</v>
      </c>
      <c r="F47" s="3">
        <v>838731.8</v>
      </c>
      <c r="G47" s="3">
        <v>547421.74</v>
      </c>
      <c r="H47" s="3">
        <v>379280.74</v>
      </c>
      <c r="I47" s="3">
        <v>54622.37</v>
      </c>
      <c r="J47" s="3">
        <v>54879.78</v>
      </c>
      <c r="K47" s="3">
        <v>419966.7</v>
      </c>
      <c r="L47" s="3">
        <v>781639.67</v>
      </c>
      <c r="M47" s="3">
        <v>684079.31</v>
      </c>
      <c r="N47" s="3">
        <v>855426.31</v>
      </c>
      <c r="O47" s="3">
        <v>702961.8</v>
      </c>
      <c r="P47" s="3">
        <v>644924.7</v>
      </c>
      <c r="Q47" s="3">
        <v>746902.28</v>
      </c>
      <c r="R47" s="3">
        <v>700971.64</v>
      </c>
      <c r="S47" s="3">
        <v>731190.69</v>
      </c>
      <c r="T47" s="3">
        <v>425756.65</v>
      </c>
      <c r="U47" s="3"/>
      <c r="V47" s="3"/>
      <c r="W47" s="3"/>
      <c r="X47" s="3"/>
      <c r="Y47" s="3"/>
      <c r="Z47" s="3"/>
      <c r="AA47" s="4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>
        <f t="shared" si="13"/>
        <v>11561319.67</v>
      </c>
      <c r="BC47" s="158">
        <f t="shared" si="14"/>
        <v>-1907796</v>
      </c>
    </row>
    <row r="48" spans="1:58">
      <c r="A48" s="6" t="s">
        <v>351</v>
      </c>
      <c r="B48" s="3">
        <v>349155.92</v>
      </c>
      <c r="C48" s="3">
        <v>397531.64</v>
      </c>
      <c r="D48" s="3">
        <v>550886.2</v>
      </c>
      <c r="E48" s="3">
        <v>322709</v>
      </c>
      <c r="F48" s="3">
        <v>419604.51</v>
      </c>
      <c r="G48" s="3">
        <v>695747.79</v>
      </c>
      <c r="H48" s="3">
        <v>534109.08</v>
      </c>
      <c r="I48" s="3">
        <v>206126.79</v>
      </c>
      <c r="J48" s="3">
        <v>197344.78</v>
      </c>
      <c r="K48" s="3">
        <v>298983.3</v>
      </c>
      <c r="L48" s="3">
        <v>473152.42</v>
      </c>
      <c r="M48" s="3">
        <v>425558.55</v>
      </c>
      <c r="N48" s="3">
        <v>518021.47</v>
      </c>
      <c r="O48" s="3">
        <v>588060.79</v>
      </c>
      <c r="P48" s="3">
        <v>480475.85</v>
      </c>
      <c r="Q48" s="3">
        <v>615430.8</v>
      </c>
      <c r="R48" s="3">
        <v>389366.2</v>
      </c>
      <c r="S48" s="3">
        <v>499247.67</v>
      </c>
      <c r="T48" s="3">
        <v>298278.15</v>
      </c>
      <c r="U48" s="3"/>
      <c r="V48" s="3"/>
      <c r="W48" s="3"/>
      <c r="X48" s="3"/>
      <c r="Y48" s="3"/>
      <c r="Z48" s="3"/>
      <c r="AA48" s="4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>
        <f t="shared" si="13"/>
        <v>8259790.91</v>
      </c>
      <c r="BC48" s="158">
        <f t="shared" si="14"/>
        <v>700864</v>
      </c>
    </row>
    <row r="49" spans="1:58">
      <c r="A49" s="6" t="s">
        <v>352</v>
      </c>
      <c r="B49" s="3">
        <v>725530.9</v>
      </c>
      <c r="C49" s="3">
        <v>648295.18</v>
      </c>
      <c r="D49" s="3">
        <v>668730.74</v>
      </c>
      <c r="E49" s="3">
        <v>795731.25</v>
      </c>
      <c r="F49" s="3">
        <v>665223.58</v>
      </c>
      <c r="G49" s="3">
        <v>656068.18</v>
      </c>
      <c r="H49" s="3">
        <v>652699.8</v>
      </c>
      <c r="I49" s="3">
        <v>411463.44</v>
      </c>
      <c r="J49" s="3">
        <v>339557.96</v>
      </c>
      <c r="K49" s="3">
        <v>754091.86</v>
      </c>
      <c r="L49" s="3">
        <v>714780.53</v>
      </c>
      <c r="M49" s="3">
        <v>731823.45</v>
      </c>
      <c r="N49" s="3">
        <v>682177.51</v>
      </c>
      <c r="O49" s="3">
        <v>803765.98</v>
      </c>
      <c r="P49" s="3">
        <v>643314.47</v>
      </c>
      <c r="Q49" s="3">
        <v>857206.35</v>
      </c>
      <c r="R49" s="3">
        <v>794830.12</v>
      </c>
      <c r="S49" s="3">
        <v>709951.61</v>
      </c>
      <c r="T49" s="3">
        <v>538522.09</v>
      </c>
      <c r="U49" s="3"/>
      <c r="V49" s="3"/>
      <c r="W49" s="3"/>
      <c r="X49" s="3"/>
      <c r="Y49" s="3"/>
      <c r="Z49" s="3"/>
      <c r="AA49" s="4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>
        <f t="shared" si="13"/>
        <v>12793765</v>
      </c>
      <c r="BC49" s="158">
        <f t="shared" si="14"/>
        <v>1318074</v>
      </c>
    </row>
    <row r="50" spans="1:58">
      <c r="A50" s="6" t="s">
        <v>9</v>
      </c>
      <c r="B50" s="3">
        <v>375652.46</v>
      </c>
      <c r="C50" s="3">
        <v>318610.23</v>
      </c>
      <c r="D50" s="3">
        <v>290398.26</v>
      </c>
      <c r="E50" s="3">
        <v>440971.01</v>
      </c>
      <c r="F50" s="3">
        <v>508129.47</v>
      </c>
      <c r="G50" s="3">
        <v>442698.19</v>
      </c>
      <c r="H50" s="3">
        <v>315392.46</v>
      </c>
      <c r="I50" s="3">
        <v>31738.77</v>
      </c>
      <c r="J50" s="3">
        <v>97967.44</v>
      </c>
      <c r="K50" s="3">
        <v>320288.34</v>
      </c>
      <c r="L50" s="3">
        <v>290712.53</v>
      </c>
      <c r="M50" s="3">
        <v>390388.24</v>
      </c>
      <c r="N50" s="3">
        <v>279276.86</v>
      </c>
      <c r="O50" s="3">
        <v>429770.32</v>
      </c>
      <c r="P50" s="3">
        <v>384393.86</v>
      </c>
      <c r="Q50" s="3">
        <v>245028.11</v>
      </c>
      <c r="R50" s="3">
        <v>314993.94</v>
      </c>
      <c r="S50" s="3">
        <v>234846.85</v>
      </c>
      <c r="T50" s="3">
        <v>222249.69</v>
      </c>
      <c r="U50" s="3"/>
      <c r="V50" s="3"/>
      <c r="W50" s="3"/>
      <c r="X50" s="3"/>
      <c r="Y50" s="3"/>
      <c r="Z50" s="3"/>
      <c r="AA50" s="4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>
        <f t="shared" si="13"/>
        <v>5933507.03</v>
      </c>
      <c r="BC50" s="158">
        <f t="shared" si="14"/>
        <v>949584</v>
      </c>
    </row>
    <row r="51" spans="1:58">
      <c r="A51" s="6" t="s">
        <v>205</v>
      </c>
      <c r="B51" s="3">
        <v>3360337.4</v>
      </c>
      <c r="C51" s="3">
        <v>3104966.02</v>
      </c>
      <c r="D51" s="3">
        <v>4106205.45</v>
      </c>
      <c r="E51" s="3">
        <v>4148669.74</v>
      </c>
      <c r="F51" s="3">
        <v>4520589.74</v>
      </c>
      <c r="G51" s="3">
        <v>3434316.76</v>
      </c>
      <c r="H51" s="3">
        <v>2813137.51</v>
      </c>
      <c r="I51" s="3">
        <v>898740.73</v>
      </c>
      <c r="J51" s="3">
        <v>915842.14</v>
      </c>
      <c r="K51" s="3">
        <v>2546432.71</v>
      </c>
      <c r="L51" s="3">
        <v>3220172.05</v>
      </c>
      <c r="M51" s="3">
        <v>3357382.05</v>
      </c>
      <c r="N51" s="3">
        <v>3296920.21</v>
      </c>
      <c r="O51" s="3">
        <v>3909532.81</v>
      </c>
      <c r="P51" s="3">
        <v>3617847.89</v>
      </c>
      <c r="Q51" s="3">
        <v>4293944.69</v>
      </c>
      <c r="R51" s="3">
        <v>4876169.73</v>
      </c>
      <c r="S51" s="3">
        <v>4240879.83</v>
      </c>
      <c r="T51" s="3">
        <v>2171342.91</v>
      </c>
      <c r="U51" s="3"/>
      <c r="V51" s="3"/>
      <c r="W51" s="3"/>
      <c r="X51" s="3"/>
      <c r="Y51" s="3"/>
      <c r="Z51" s="3"/>
      <c r="AA51" s="4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>
        <f t="shared" si="13"/>
        <v>62833430.37</v>
      </c>
      <c r="BC51" s="158">
        <f t="shared" si="14"/>
        <v>4977541</v>
      </c>
      <c r="BD51" t="s">
        <v>359</v>
      </c>
      <c r="BE51" t="s">
        <v>360</v>
      </c>
      <c r="BF51" t="s">
        <v>361</v>
      </c>
    </row>
    <row r="52" customFormat="1" spans="1:58">
      <c r="A52" s="152" t="s">
        <v>362</v>
      </c>
      <c r="B52" s="153">
        <v>5530553.32</v>
      </c>
      <c r="C52" s="153">
        <v>4852687.65</v>
      </c>
      <c r="D52" s="153">
        <v>6290487.22</v>
      </c>
      <c r="E52" s="153">
        <v>6214755.63</v>
      </c>
      <c r="F52" s="153">
        <v>6629699.8</v>
      </c>
      <c r="G52" s="153">
        <v>5427768.54</v>
      </c>
      <c r="H52" s="153">
        <v>5318554.29</v>
      </c>
      <c r="I52" s="153">
        <v>1824749.35</v>
      </c>
      <c r="J52" s="153">
        <v>1310246.25</v>
      </c>
      <c r="K52" s="153">
        <v>4157012.56</v>
      </c>
      <c r="L52" s="153">
        <v>5510973.95</v>
      </c>
      <c r="M52" s="153">
        <v>5632148.84</v>
      </c>
      <c r="N52" s="153">
        <v>5469073.15</v>
      </c>
      <c r="O52" s="153">
        <v>6106479.43</v>
      </c>
      <c r="P52" s="153">
        <v>5275420.74</v>
      </c>
      <c r="Q52" s="153">
        <v>6574471.76</v>
      </c>
      <c r="R52" s="153">
        <v>6968013.61</v>
      </c>
      <c r="S52" s="153">
        <v>6378639.27</v>
      </c>
      <c r="T52" s="153">
        <v>3681903.75</v>
      </c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4">
        <f t="shared" si="13"/>
        <v>99153639.11</v>
      </c>
      <c r="BC52" s="159">
        <f t="shared" si="14"/>
        <v>15061426</v>
      </c>
      <c r="BD52" s="152" t="s">
        <v>363</v>
      </c>
      <c r="BE52" s="160">
        <f>BB52/290000000</f>
        <v>0.3419</v>
      </c>
      <c r="BF52" s="160">
        <f ca="1">'2026年第19周'!Z2/52</f>
        <v>0.3654</v>
      </c>
    </row>
    <row r="53" customFormat="1" spans="1:58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3"/>
      <c r="BC53" s="1"/>
      <c r="BE53" s="157"/>
      <c r="BF53" s="157"/>
    </row>
    <row r="54" spans="1:58">
      <c r="A54" s="12" t="s">
        <v>354</v>
      </c>
      <c r="B54" s="3" t="s">
        <v>266</v>
      </c>
      <c r="C54" s="3" t="s">
        <v>267</v>
      </c>
      <c r="D54" s="3" t="s">
        <v>268</v>
      </c>
      <c r="E54" s="3" t="s">
        <v>269</v>
      </c>
      <c r="F54" s="3" t="s">
        <v>270</v>
      </c>
      <c r="G54" s="3" t="s">
        <v>271</v>
      </c>
      <c r="H54" s="3" t="s">
        <v>272</v>
      </c>
      <c r="I54" s="3" t="s">
        <v>273</v>
      </c>
      <c r="J54" s="3" t="s">
        <v>274</v>
      </c>
      <c r="K54" s="3" t="s">
        <v>275</v>
      </c>
      <c r="L54" s="3" t="s">
        <v>276</v>
      </c>
      <c r="M54" s="3" t="s">
        <v>277</v>
      </c>
      <c r="N54" s="3" t="s">
        <v>278</v>
      </c>
      <c r="O54" s="3" t="s">
        <v>279</v>
      </c>
      <c r="P54" s="3" t="s">
        <v>280</v>
      </c>
      <c r="Q54" s="3" t="s">
        <v>281</v>
      </c>
      <c r="R54" s="3" t="s">
        <v>282</v>
      </c>
      <c r="S54" s="3" t="s">
        <v>283</v>
      </c>
      <c r="T54" s="3" t="s">
        <v>284</v>
      </c>
      <c r="U54" s="3" t="s">
        <v>285</v>
      </c>
      <c r="V54" s="3" t="s">
        <v>286</v>
      </c>
      <c r="W54" s="3" t="s">
        <v>287</v>
      </c>
      <c r="X54" s="3" t="s">
        <v>288</v>
      </c>
      <c r="Y54" s="3" t="s">
        <v>289</v>
      </c>
      <c r="Z54" s="3" t="s">
        <v>290</v>
      </c>
      <c r="AA54" s="3" t="s">
        <v>291</v>
      </c>
      <c r="AB54" s="3" t="s">
        <v>292</v>
      </c>
      <c r="AC54" s="3" t="s">
        <v>293</v>
      </c>
      <c r="AD54" s="3" t="s">
        <v>294</v>
      </c>
      <c r="AE54" s="3" t="s">
        <v>295</v>
      </c>
      <c r="AF54" s="3" t="s">
        <v>296</v>
      </c>
      <c r="AG54" s="3" t="s">
        <v>297</v>
      </c>
      <c r="AH54" s="3" t="s">
        <v>298</v>
      </c>
      <c r="AI54" s="3" t="s">
        <v>299</v>
      </c>
      <c r="AJ54" s="3" t="s">
        <v>300</v>
      </c>
      <c r="AK54" s="3" t="s">
        <v>301</v>
      </c>
      <c r="AL54" s="3" t="s">
        <v>302</v>
      </c>
      <c r="AM54" s="3" t="s">
        <v>303</v>
      </c>
      <c r="AN54" s="3" t="s">
        <v>304</v>
      </c>
      <c r="AO54" s="3" t="s">
        <v>305</v>
      </c>
      <c r="AP54" s="3" t="s">
        <v>306</v>
      </c>
      <c r="AQ54" s="3" t="s">
        <v>307</v>
      </c>
      <c r="AR54" s="3" t="s">
        <v>308</v>
      </c>
      <c r="AS54" s="3" t="s">
        <v>309</v>
      </c>
      <c r="AT54" s="3" t="s">
        <v>310</v>
      </c>
      <c r="AU54" s="3" t="s">
        <v>311</v>
      </c>
      <c r="AV54" s="3" t="s">
        <v>312</v>
      </c>
      <c r="AW54" s="3" t="s">
        <v>313</v>
      </c>
      <c r="AX54" s="3" t="s">
        <v>314</v>
      </c>
      <c r="AY54" s="3" t="s">
        <v>315</v>
      </c>
      <c r="AZ54" s="3" t="s">
        <v>316</v>
      </c>
      <c r="BA54" s="3" t="s">
        <v>317</v>
      </c>
      <c r="BB54" s="3" t="s">
        <v>184</v>
      </c>
      <c r="BC54" s="1"/>
    </row>
    <row r="55" spans="1:58">
      <c r="A55" s="6" t="s">
        <v>10</v>
      </c>
      <c r="B55" s="3">
        <v>617</v>
      </c>
      <c r="C55" s="3">
        <v>293</v>
      </c>
      <c r="D55" s="3">
        <v>437</v>
      </c>
      <c r="E55" s="3">
        <v>502</v>
      </c>
      <c r="F55" s="3">
        <v>561</v>
      </c>
      <c r="G55" s="3">
        <v>571</v>
      </c>
      <c r="H55" s="3">
        <v>611</v>
      </c>
      <c r="I55" s="3">
        <v>41</v>
      </c>
      <c r="J55" s="3">
        <v>22</v>
      </c>
      <c r="K55" s="3">
        <v>487</v>
      </c>
      <c r="L55" s="3">
        <v>288</v>
      </c>
      <c r="M55" s="3">
        <v>443</v>
      </c>
      <c r="N55" s="3">
        <v>356</v>
      </c>
      <c r="O55" s="3">
        <v>875</v>
      </c>
      <c r="P55" s="3">
        <v>126</v>
      </c>
      <c r="Q55" s="3">
        <v>134</v>
      </c>
      <c r="R55" s="3">
        <v>968</v>
      </c>
      <c r="S55" s="3">
        <v>466</v>
      </c>
      <c r="T55" s="3">
        <v>100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>
        <f>SUM(B55:BA55)</f>
        <v>7898</v>
      </c>
      <c r="BC55" s="1"/>
    </row>
    <row r="56" spans="1:58">
      <c r="A56" s="6" t="s">
        <v>11</v>
      </c>
      <c r="B56" s="3">
        <v>184</v>
      </c>
      <c r="C56" s="3">
        <v>99</v>
      </c>
      <c r="D56" s="3">
        <v>170</v>
      </c>
      <c r="E56" s="3">
        <v>185</v>
      </c>
      <c r="F56" s="3">
        <v>248</v>
      </c>
      <c r="G56" s="3">
        <v>185</v>
      </c>
      <c r="H56" s="3">
        <v>258</v>
      </c>
      <c r="I56" s="3">
        <v>81</v>
      </c>
      <c r="J56" s="3">
        <v>52</v>
      </c>
      <c r="K56" s="3">
        <v>179</v>
      </c>
      <c r="L56" s="3">
        <v>223</v>
      </c>
      <c r="M56" s="3">
        <v>180</v>
      </c>
      <c r="N56" s="3">
        <v>253</v>
      </c>
      <c r="O56" s="3">
        <v>286</v>
      </c>
      <c r="P56" s="3">
        <v>147</v>
      </c>
      <c r="Q56" s="3">
        <v>219</v>
      </c>
      <c r="R56" s="3">
        <v>228</v>
      </c>
      <c r="S56" s="3">
        <v>202</v>
      </c>
      <c r="T56" s="3">
        <v>90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>
        <f t="shared" ref="BB56:BB92" si="15">SUM(B56:BA56)</f>
        <v>3469</v>
      </c>
      <c r="BC56" s="1"/>
    </row>
    <row r="57" spans="1:58">
      <c r="A57" s="6" t="s">
        <v>13</v>
      </c>
      <c r="B57" s="3">
        <v>187</v>
      </c>
      <c r="C57" s="3">
        <v>132</v>
      </c>
      <c r="D57" s="3">
        <v>146</v>
      </c>
      <c r="E57" s="3">
        <v>202</v>
      </c>
      <c r="F57" s="3">
        <v>159</v>
      </c>
      <c r="G57" s="3">
        <v>131</v>
      </c>
      <c r="H57" s="3">
        <v>203</v>
      </c>
      <c r="I57" s="3">
        <v>0</v>
      </c>
      <c r="J57" s="3">
        <v>10</v>
      </c>
      <c r="K57" s="3">
        <v>63</v>
      </c>
      <c r="L57" s="3">
        <v>21</v>
      </c>
      <c r="M57" s="3">
        <v>153</v>
      </c>
      <c r="N57" s="3">
        <v>175</v>
      </c>
      <c r="O57" s="3">
        <v>210</v>
      </c>
      <c r="P57" s="3">
        <v>134</v>
      </c>
      <c r="Q57" s="3">
        <v>166</v>
      </c>
      <c r="R57" s="3">
        <v>209</v>
      </c>
      <c r="S57" s="3">
        <v>175</v>
      </c>
      <c r="T57" s="3">
        <v>102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>
        <f t="shared" si="15"/>
        <v>2578</v>
      </c>
      <c r="BC57" s="1"/>
    </row>
    <row r="58" spans="1:58">
      <c r="A58" s="12" t="s">
        <v>15</v>
      </c>
      <c r="B58" s="3">
        <v>242</v>
      </c>
      <c r="C58" s="3">
        <v>393</v>
      </c>
      <c r="D58" s="3">
        <v>553</v>
      </c>
      <c r="E58" s="3">
        <v>393</v>
      </c>
      <c r="F58" s="3">
        <v>579</v>
      </c>
      <c r="G58" s="3">
        <v>319</v>
      </c>
      <c r="H58" s="3">
        <v>328</v>
      </c>
      <c r="I58" s="3">
        <v>119</v>
      </c>
      <c r="J58" s="3">
        <v>83</v>
      </c>
      <c r="K58" s="3">
        <v>359</v>
      </c>
      <c r="L58" s="3">
        <v>251</v>
      </c>
      <c r="M58" s="3">
        <v>361</v>
      </c>
      <c r="N58" s="3">
        <v>419</v>
      </c>
      <c r="O58" s="3">
        <v>288</v>
      </c>
      <c r="P58" s="3">
        <v>406</v>
      </c>
      <c r="Q58" s="3">
        <v>663</v>
      </c>
      <c r="R58" s="3">
        <v>460</v>
      </c>
      <c r="S58" s="3">
        <v>496</v>
      </c>
      <c r="T58" s="3">
        <v>321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>
        <f t="shared" si="15"/>
        <v>7033</v>
      </c>
      <c r="BC58" s="1"/>
    </row>
    <row r="59" spans="1:58">
      <c r="A59" s="12" t="s">
        <v>16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>
        <f t="shared" si="15"/>
        <v>0</v>
      </c>
      <c r="BC59" s="1"/>
    </row>
    <row r="60" spans="1:58">
      <c r="A60" s="12" t="s">
        <v>17</v>
      </c>
      <c r="B60" s="3">
        <v>352</v>
      </c>
      <c r="C60" s="3">
        <v>578</v>
      </c>
      <c r="D60" s="3">
        <v>488</v>
      </c>
      <c r="E60" s="3">
        <v>484</v>
      </c>
      <c r="F60" s="3">
        <v>459</v>
      </c>
      <c r="G60" s="3">
        <v>438</v>
      </c>
      <c r="H60" s="3">
        <v>386</v>
      </c>
      <c r="I60" s="3">
        <v>50</v>
      </c>
      <c r="J60" s="3">
        <v>172</v>
      </c>
      <c r="K60" s="3">
        <v>383</v>
      </c>
      <c r="L60" s="3">
        <v>414</v>
      </c>
      <c r="M60" s="3">
        <v>423</v>
      </c>
      <c r="N60" s="3">
        <v>438</v>
      </c>
      <c r="O60" s="3">
        <v>484</v>
      </c>
      <c r="P60" s="3">
        <v>222</v>
      </c>
      <c r="Q60" s="3">
        <v>525</v>
      </c>
      <c r="R60" s="3">
        <v>350</v>
      </c>
      <c r="S60" s="3">
        <v>452</v>
      </c>
      <c r="T60" s="3">
        <v>242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>
        <f t="shared" si="15"/>
        <v>7340</v>
      </c>
      <c r="BC60" s="1"/>
    </row>
    <row r="61" spans="1:58">
      <c r="A61" s="6" t="s">
        <v>18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>
        <f t="shared" si="15"/>
        <v>0</v>
      </c>
      <c r="BC61" s="1"/>
    </row>
    <row r="62" spans="1:58">
      <c r="A62" s="6" t="s">
        <v>20</v>
      </c>
      <c r="B62" s="3">
        <v>1583</v>
      </c>
      <c r="C62" s="3">
        <v>924</v>
      </c>
      <c r="D62" s="3">
        <v>1422</v>
      </c>
      <c r="E62" s="3">
        <v>1450</v>
      </c>
      <c r="F62" s="3">
        <v>1174</v>
      </c>
      <c r="G62" s="3">
        <v>1272</v>
      </c>
      <c r="H62" s="3">
        <v>1186</v>
      </c>
      <c r="I62" s="3">
        <v>297</v>
      </c>
      <c r="J62" s="3">
        <v>133</v>
      </c>
      <c r="K62" s="3">
        <v>994</v>
      </c>
      <c r="L62" s="3">
        <v>1390</v>
      </c>
      <c r="M62" s="3">
        <v>1390</v>
      </c>
      <c r="N62" s="3">
        <v>1172</v>
      </c>
      <c r="O62" s="3">
        <v>1515</v>
      </c>
      <c r="P62" s="3">
        <v>1172</v>
      </c>
      <c r="Q62" s="3">
        <v>1289</v>
      </c>
      <c r="R62" s="3">
        <v>1334</v>
      </c>
      <c r="S62" s="3">
        <v>1258</v>
      </c>
      <c r="T62" s="3">
        <v>1128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>
        <f t="shared" si="15"/>
        <v>22083</v>
      </c>
      <c r="BC62" s="1"/>
    </row>
    <row r="63" spans="1:58">
      <c r="A63" s="12" t="s">
        <v>21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>
        <f t="shared" si="15"/>
        <v>0</v>
      </c>
      <c r="BC63" s="1"/>
    </row>
    <row r="64" spans="1:58">
      <c r="A64" s="12" t="s">
        <v>22</v>
      </c>
      <c r="B64" s="3">
        <v>21</v>
      </c>
      <c r="C64" s="3">
        <v>11</v>
      </c>
      <c r="D64" s="3">
        <v>22</v>
      </c>
      <c r="E64" s="3">
        <v>12</v>
      </c>
      <c r="F64" s="3">
        <v>67</v>
      </c>
      <c r="G64" s="3">
        <v>20</v>
      </c>
      <c r="H64" s="3">
        <v>20</v>
      </c>
      <c r="I64" s="3">
        <v>10</v>
      </c>
      <c r="J64" s="3">
        <v>42</v>
      </c>
      <c r="K64" s="3">
        <v>33</v>
      </c>
      <c r="L64" s="3">
        <v>22</v>
      </c>
      <c r="M64" s="3">
        <v>24</v>
      </c>
      <c r="N64" s="3">
        <v>16</v>
      </c>
      <c r="O64" s="3">
        <v>30</v>
      </c>
      <c r="P64" s="3">
        <v>36</v>
      </c>
      <c r="Q64" s="3">
        <v>9</v>
      </c>
      <c r="R64" s="3">
        <v>58</v>
      </c>
      <c r="S64" s="3">
        <v>12</v>
      </c>
      <c r="T64" s="3">
        <v>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>
        <f t="shared" si="15"/>
        <v>474</v>
      </c>
      <c r="BC64" s="1"/>
    </row>
    <row r="65" spans="1:55">
      <c r="A65" s="12" t="s">
        <v>23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>
        <f t="shared" si="15"/>
        <v>0</v>
      </c>
      <c r="BC65" s="1"/>
    </row>
    <row r="66" spans="1:55">
      <c r="A66" s="12" t="s">
        <v>24</v>
      </c>
      <c r="B66" s="3">
        <v>554</v>
      </c>
      <c r="C66" s="3">
        <v>272</v>
      </c>
      <c r="D66" s="3">
        <v>296</v>
      </c>
      <c r="E66" s="3">
        <v>316</v>
      </c>
      <c r="F66" s="3">
        <v>348</v>
      </c>
      <c r="G66" s="3">
        <v>230</v>
      </c>
      <c r="H66" s="3">
        <v>284</v>
      </c>
      <c r="I66" s="3">
        <v>74</v>
      </c>
      <c r="J66" s="3">
        <v>66</v>
      </c>
      <c r="K66" s="3">
        <v>284</v>
      </c>
      <c r="L66" s="3">
        <v>397</v>
      </c>
      <c r="M66" s="3">
        <v>213</v>
      </c>
      <c r="N66" s="3">
        <v>124</v>
      </c>
      <c r="O66" s="3">
        <v>186</v>
      </c>
      <c r="P66" s="3">
        <v>282</v>
      </c>
      <c r="Q66" s="3">
        <v>353</v>
      </c>
      <c r="R66" s="3">
        <v>303</v>
      </c>
      <c r="S66" s="3">
        <v>294</v>
      </c>
      <c r="T66" s="3">
        <v>135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>
        <f t="shared" si="15"/>
        <v>5011</v>
      </c>
      <c r="BC66" s="1"/>
    </row>
    <row r="67" spans="1:55">
      <c r="A67" s="8" t="s">
        <v>25</v>
      </c>
      <c r="B67" s="3">
        <v>200</v>
      </c>
      <c r="C67" s="3">
        <v>219</v>
      </c>
      <c r="D67" s="3">
        <v>265</v>
      </c>
      <c r="E67" s="3">
        <v>115</v>
      </c>
      <c r="F67" s="3">
        <v>245</v>
      </c>
      <c r="G67" s="3">
        <v>127</v>
      </c>
      <c r="H67" s="3">
        <v>196</v>
      </c>
      <c r="I67" s="3">
        <v>117</v>
      </c>
      <c r="J67" s="3">
        <v>48</v>
      </c>
      <c r="K67" s="3">
        <v>189</v>
      </c>
      <c r="L67" s="3">
        <v>157</v>
      </c>
      <c r="M67" s="3">
        <v>342</v>
      </c>
      <c r="N67" s="3">
        <v>268</v>
      </c>
      <c r="O67" s="3">
        <v>252</v>
      </c>
      <c r="P67" s="3">
        <v>334</v>
      </c>
      <c r="Q67" s="3">
        <v>228</v>
      </c>
      <c r="R67" s="3">
        <v>354</v>
      </c>
      <c r="S67" s="3">
        <v>255</v>
      </c>
      <c r="T67" s="3">
        <v>191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>
        <f t="shared" si="15"/>
        <v>4102</v>
      </c>
      <c r="BC67" s="1"/>
    </row>
    <row r="68" spans="1:55">
      <c r="A68" s="8" t="s">
        <v>26</v>
      </c>
      <c r="B68" s="3">
        <v>448</v>
      </c>
      <c r="C68" s="3">
        <v>317</v>
      </c>
      <c r="D68" s="3">
        <v>472</v>
      </c>
      <c r="E68" s="3">
        <v>392</v>
      </c>
      <c r="F68" s="3">
        <v>379</v>
      </c>
      <c r="G68" s="3">
        <v>480</v>
      </c>
      <c r="H68" s="3">
        <v>353</v>
      </c>
      <c r="I68" s="3">
        <v>2</v>
      </c>
      <c r="J68" s="3">
        <v>45</v>
      </c>
      <c r="K68" s="3">
        <v>450</v>
      </c>
      <c r="L68" s="3">
        <v>637</v>
      </c>
      <c r="M68" s="3">
        <v>485</v>
      </c>
      <c r="N68" s="3">
        <v>549</v>
      </c>
      <c r="O68" s="3">
        <v>618</v>
      </c>
      <c r="P68" s="3">
        <v>491</v>
      </c>
      <c r="Q68" s="3">
        <v>692</v>
      </c>
      <c r="R68" s="3">
        <v>563</v>
      </c>
      <c r="S68" s="3">
        <v>475</v>
      </c>
      <c r="T68" s="3">
        <v>325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>
        <f t="shared" si="15"/>
        <v>8173</v>
      </c>
      <c r="BC68" s="1"/>
    </row>
    <row r="69" spans="1:55">
      <c r="A69" s="8" t="s">
        <v>27</v>
      </c>
      <c r="B69" s="3">
        <v>0</v>
      </c>
      <c r="C69" s="3">
        <v>14</v>
      </c>
      <c r="D69" s="3">
        <v>5</v>
      </c>
      <c r="E69" s="3">
        <v>5</v>
      </c>
      <c r="F69" s="3">
        <v>5</v>
      </c>
      <c r="G69" s="3">
        <v>0</v>
      </c>
      <c r="H69" s="3">
        <v>0</v>
      </c>
      <c r="I69" s="3">
        <v>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>
        <f t="shared" si="15"/>
        <v>30</v>
      </c>
      <c r="BC69" s="1"/>
    </row>
    <row r="70" spans="1:55">
      <c r="A70" s="6" t="s">
        <v>28</v>
      </c>
      <c r="B70" s="3">
        <v>5</v>
      </c>
      <c r="C70" s="3">
        <v>71</v>
      </c>
      <c r="D70" s="3">
        <v>78</v>
      </c>
      <c r="E70" s="3">
        <v>18</v>
      </c>
      <c r="F70" s="3">
        <v>47</v>
      </c>
      <c r="G70" s="3">
        <v>93</v>
      </c>
      <c r="H70" s="3">
        <v>143</v>
      </c>
      <c r="I70" s="3">
        <v>0</v>
      </c>
      <c r="J70" s="3">
        <v>0</v>
      </c>
      <c r="K70" s="3">
        <v>87</v>
      </c>
      <c r="L70" s="3">
        <v>186</v>
      </c>
      <c r="M70" s="3">
        <v>125</v>
      </c>
      <c r="N70" s="3">
        <v>196</v>
      </c>
      <c r="O70" s="3">
        <v>154</v>
      </c>
      <c r="P70" s="3">
        <v>84</v>
      </c>
      <c r="Q70" s="3">
        <v>166</v>
      </c>
      <c r="R70" s="3">
        <v>96</v>
      </c>
      <c r="S70" s="3">
        <v>80</v>
      </c>
      <c r="T70" s="3">
        <v>42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>
        <f t="shared" si="15"/>
        <v>1671</v>
      </c>
      <c r="BC70" s="1"/>
    </row>
    <row r="71" spans="1:55">
      <c r="A71" s="6" t="s">
        <v>29</v>
      </c>
      <c r="B71" s="3">
        <v>723</v>
      </c>
      <c r="C71" s="3">
        <v>695</v>
      </c>
      <c r="D71" s="3">
        <v>951</v>
      </c>
      <c r="E71" s="3">
        <v>638</v>
      </c>
      <c r="F71" s="3">
        <v>654</v>
      </c>
      <c r="G71" s="3">
        <v>398</v>
      </c>
      <c r="H71" s="3">
        <v>380</v>
      </c>
      <c r="I71" s="3">
        <v>54</v>
      </c>
      <c r="J71" s="3">
        <v>2</v>
      </c>
      <c r="K71" s="3">
        <v>425</v>
      </c>
      <c r="L71" s="3">
        <v>579</v>
      </c>
      <c r="M71" s="3">
        <v>673</v>
      </c>
      <c r="N71" s="3">
        <v>622</v>
      </c>
      <c r="O71" s="3">
        <v>530</v>
      </c>
      <c r="P71" s="3">
        <v>689</v>
      </c>
      <c r="Q71" s="3">
        <v>416</v>
      </c>
      <c r="R71" s="3">
        <v>440</v>
      </c>
      <c r="S71" s="3">
        <v>623</v>
      </c>
      <c r="T71" s="3">
        <v>309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>
        <f t="shared" si="15"/>
        <v>9801</v>
      </c>
      <c r="BC71" s="1"/>
    </row>
    <row r="72" spans="1:55">
      <c r="A72" s="6" t="s">
        <v>31</v>
      </c>
      <c r="B72" s="3">
        <v>490</v>
      </c>
      <c r="C72" s="3">
        <v>595</v>
      </c>
      <c r="D72" s="3">
        <v>512</v>
      </c>
      <c r="E72" s="3">
        <v>562</v>
      </c>
      <c r="F72" s="3">
        <v>550</v>
      </c>
      <c r="G72" s="3">
        <v>320</v>
      </c>
      <c r="H72" s="3">
        <v>22</v>
      </c>
      <c r="I72" s="3">
        <v>0</v>
      </c>
      <c r="J72" s="3">
        <v>2</v>
      </c>
      <c r="K72" s="3">
        <v>62</v>
      </c>
      <c r="L72" s="3">
        <v>448</v>
      </c>
      <c r="M72" s="3">
        <v>230</v>
      </c>
      <c r="N72" s="3">
        <v>794</v>
      </c>
      <c r="O72" s="3">
        <v>331</v>
      </c>
      <c r="P72" s="3">
        <v>303</v>
      </c>
      <c r="Q72" s="3">
        <v>283</v>
      </c>
      <c r="R72" s="3">
        <v>266</v>
      </c>
      <c r="S72" s="3">
        <v>410</v>
      </c>
      <c r="T72" s="3">
        <v>232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>
        <f t="shared" si="15"/>
        <v>6412</v>
      </c>
      <c r="BC72" s="1"/>
    </row>
    <row r="73" spans="1:55">
      <c r="A73" s="6" t="s">
        <v>32</v>
      </c>
      <c r="B73" s="3">
        <v>223</v>
      </c>
      <c r="C73" s="3">
        <v>43</v>
      </c>
      <c r="D73" s="3">
        <v>63</v>
      </c>
      <c r="E73" s="3">
        <v>78</v>
      </c>
      <c r="F73" s="3">
        <v>256</v>
      </c>
      <c r="G73" s="3">
        <v>39</v>
      </c>
      <c r="H73" s="3">
        <v>4</v>
      </c>
      <c r="I73" s="3">
        <v>0</v>
      </c>
      <c r="J73" s="3">
        <v>16</v>
      </c>
      <c r="K73" s="3">
        <v>118</v>
      </c>
      <c r="L73" s="3">
        <v>153</v>
      </c>
      <c r="M73" s="3">
        <v>100</v>
      </c>
      <c r="N73" s="3">
        <v>151</v>
      </c>
      <c r="O73" s="3">
        <v>178</v>
      </c>
      <c r="P73" s="3">
        <v>77</v>
      </c>
      <c r="Q73" s="3">
        <v>119</v>
      </c>
      <c r="R73" s="3">
        <v>262</v>
      </c>
      <c r="S73" s="3">
        <v>233</v>
      </c>
      <c r="T73" s="3">
        <v>57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>
        <f t="shared" si="15"/>
        <v>2170</v>
      </c>
      <c r="BC73" s="1"/>
    </row>
    <row r="74" spans="1:55">
      <c r="A74" s="6" t="s">
        <v>33</v>
      </c>
      <c r="B74" s="3">
        <v>133</v>
      </c>
      <c r="C74" s="3">
        <v>62</v>
      </c>
      <c r="D74" s="3">
        <v>82</v>
      </c>
      <c r="E74" s="3">
        <v>43</v>
      </c>
      <c r="F74" s="3">
        <v>141</v>
      </c>
      <c r="G74" s="3">
        <v>65</v>
      </c>
      <c r="H74" s="3">
        <v>66</v>
      </c>
      <c r="I74" s="3">
        <v>1</v>
      </c>
      <c r="J74" s="3">
        <v>34</v>
      </c>
      <c r="K74" s="3">
        <v>71</v>
      </c>
      <c r="L74" s="3">
        <v>112</v>
      </c>
      <c r="M74" s="3">
        <v>46</v>
      </c>
      <c r="N74" s="3">
        <v>21</v>
      </c>
      <c r="O74" s="3">
        <v>73</v>
      </c>
      <c r="P74" s="3">
        <v>40</v>
      </c>
      <c r="Q74" s="3">
        <v>119</v>
      </c>
      <c r="R74" s="3">
        <v>72</v>
      </c>
      <c r="S74" s="3">
        <v>107</v>
      </c>
      <c r="T74" s="3">
        <v>38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>
        <f t="shared" si="15"/>
        <v>1326</v>
      </c>
      <c r="BC74" s="1"/>
    </row>
    <row r="75" spans="1:55">
      <c r="A75" s="6" t="s">
        <v>34</v>
      </c>
      <c r="B75" s="3">
        <v>250</v>
      </c>
      <c r="C75" s="3">
        <v>238</v>
      </c>
      <c r="D75" s="3">
        <v>343</v>
      </c>
      <c r="E75" s="3">
        <v>245</v>
      </c>
      <c r="F75" s="3">
        <v>239</v>
      </c>
      <c r="G75" s="3">
        <v>251</v>
      </c>
      <c r="H75" s="3">
        <v>163</v>
      </c>
      <c r="I75" s="3">
        <v>80</v>
      </c>
      <c r="J75" s="3">
        <v>25</v>
      </c>
      <c r="K75" s="3">
        <v>114</v>
      </c>
      <c r="L75" s="3">
        <v>151</v>
      </c>
      <c r="M75" s="3">
        <v>154</v>
      </c>
      <c r="N75" s="3">
        <v>295</v>
      </c>
      <c r="O75" s="3">
        <v>98</v>
      </c>
      <c r="P75" s="3">
        <v>324</v>
      </c>
      <c r="Q75" s="3">
        <v>207</v>
      </c>
      <c r="R75" s="3">
        <v>152</v>
      </c>
      <c r="S75" s="3">
        <v>259</v>
      </c>
      <c r="T75" s="3">
        <v>167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>
        <f t="shared" si="15"/>
        <v>3755</v>
      </c>
      <c r="BC75" s="1"/>
    </row>
    <row r="76" spans="1:55">
      <c r="A76" s="6" t="s">
        <v>35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>
        <f t="shared" si="15"/>
        <v>0</v>
      </c>
      <c r="BC76" s="1"/>
    </row>
    <row r="77" spans="1:55">
      <c r="A77" s="6" t="s">
        <v>36</v>
      </c>
      <c r="B77" s="3">
        <v>6</v>
      </c>
      <c r="C77" s="3">
        <v>2</v>
      </c>
      <c r="D77" s="3">
        <v>8</v>
      </c>
      <c r="E77" s="3">
        <v>9</v>
      </c>
      <c r="F77" s="3">
        <v>14</v>
      </c>
      <c r="G77" s="3">
        <v>15</v>
      </c>
      <c r="H77" s="3">
        <v>19</v>
      </c>
      <c r="I77" s="3">
        <v>0</v>
      </c>
      <c r="J77" s="3">
        <v>0</v>
      </c>
      <c r="K77" s="3">
        <v>3</v>
      </c>
      <c r="L77" s="3">
        <v>6</v>
      </c>
      <c r="M77" s="3">
        <v>9</v>
      </c>
      <c r="N77" s="3">
        <v>30</v>
      </c>
      <c r="O77" s="3">
        <v>33</v>
      </c>
      <c r="P77" s="3">
        <v>0</v>
      </c>
      <c r="Q77" s="3">
        <v>3</v>
      </c>
      <c r="R77" s="3">
        <v>4</v>
      </c>
      <c r="S77" s="3">
        <v>8</v>
      </c>
      <c r="T77" s="3">
        <v>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>
        <f t="shared" si="15"/>
        <v>170</v>
      </c>
      <c r="BC77" s="1"/>
    </row>
    <row r="78" spans="1:55">
      <c r="A78" s="6" t="s">
        <v>37</v>
      </c>
      <c r="B78" s="3">
        <v>228</v>
      </c>
      <c r="C78" s="3">
        <v>338</v>
      </c>
      <c r="D78" s="3">
        <v>371</v>
      </c>
      <c r="E78" s="3">
        <v>352</v>
      </c>
      <c r="F78" s="3">
        <v>302</v>
      </c>
      <c r="G78" s="3">
        <v>164</v>
      </c>
      <c r="H78" s="3">
        <v>220</v>
      </c>
      <c r="I78" s="3">
        <v>80</v>
      </c>
      <c r="J78" s="3">
        <v>56</v>
      </c>
      <c r="K78" s="3">
        <v>307</v>
      </c>
      <c r="L78" s="3">
        <v>498</v>
      </c>
      <c r="M78" s="3">
        <v>560</v>
      </c>
      <c r="N78" s="3">
        <v>464</v>
      </c>
      <c r="O78" s="3">
        <v>440</v>
      </c>
      <c r="P78" s="3">
        <v>513</v>
      </c>
      <c r="Q78" s="3">
        <v>378</v>
      </c>
      <c r="R78" s="3">
        <v>207</v>
      </c>
      <c r="S78" s="3">
        <v>174</v>
      </c>
      <c r="T78" s="3">
        <v>146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>
        <f t="shared" si="15"/>
        <v>5798</v>
      </c>
      <c r="BC78" s="1"/>
    </row>
    <row r="79" spans="1:55">
      <c r="A79" s="6" t="s">
        <v>38</v>
      </c>
      <c r="B79" s="3">
        <v>102</v>
      </c>
      <c r="C79" s="3">
        <v>46</v>
      </c>
      <c r="D79" s="3">
        <v>61</v>
      </c>
      <c r="E79" s="3">
        <v>137</v>
      </c>
      <c r="F79" s="3">
        <v>110</v>
      </c>
      <c r="G79" s="3">
        <v>34</v>
      </c>
      <c r="H79" s="3">
        <v>35</v>
      </c>
      <c r="I79" s="3">
        <v>0</v>
      </c>
      <c r="J79" s="3">
        <v>0</v>
      </c>
      <c r="K79" s="3">
        <v>130</v>
      </c>
      <c r="L79" s="3">
        <v>154</v>
      </c>
      <c r="M79" s="3">
        <v>316</v>
      </c>
      <c r="N79" s="3">
        <v>284</v>
      </c>
      <c r="O79" s="3">
        <v>277</v>
      </c>
      <c r="P79" s="3">
        <v>214</v>
      </c>
      <c r="Q79" s="3">
        <v>240</v>
      </c>
      <c r="R79" s="3">
        <v>146</v>
      </c>
      <c r="S79" s="3">
        <v>117</v>
      </c>
      <c r="T79" s="3">
        <v>35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>
        <f t="shared" si="15"/>
        <v>2438</v>
      </c>
      <c r="BC79" s="1"/>
    </row>
    <row r="80" spans="1:55">
      <c r="A80" s="6" t="s">
        <v>39</v>
      </c>
      <c r="B80" s="3">
        <v>145</v>
      </c>
      <c r="C80" s="3">
        <v>63</v>
      </c>
      <c r="D80" s="3">
        <v>84</v>
      </c>
      <c r="E80" s="3">
        <v>50</v>
      </c>
      <c r="F80" s="3">
        <v>114</v>
      </c>
      <c r="G80" s="3">
        <v>109</v>
      </c>
      <c r="H80" s="3">
        <v>112</v>
      </c>
      <c r="I80" s="3">
        <v>27</v>
      </c>
      <c r="J80" s="3">
        <v>0</v>
      </c>
      <c r="K80" s="3">
        <v>35</v>
      </c>
      <c r="L80" s="3">
        <v>99</v>
      </c>
      <c r="M80" s="3">
        <v>84</v>
      </c>
      <c r="N80" s="3">
        <v>40</v>
      </c>
      <c r="O80" s="3">
        <v>112</v>
      </c>
      <c r="P80" s="3">
        <v>75</v>
      </c>
      <c r="Q80" s="3">
        <v>66</v>
      </c>
      <c r="R80" s="3">
        <v>65</v>
      </c>
      <c r="S80" s="3">
        <v>98</v>
      </c>
      <c r="T80" s="3">
        <v>73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>
        <f t="shared" si="15"/>
        <v>1451</v>
      </c>
      <c r="BC80" s="1"/>
    </row>
    <row r="81" spans="1:55">
      <c r="A81" s="6" t="s">
        <v>40</v>
      </c>
      <c r="B81" s="3">
        <v>272</v>
      </c>
      <c r="C81" s="3">
        <v>186</v>
      </c>
      <c r="D81" s="3">
        <v>146</v>
      </c>
      <c r="E81" s="3">
        <v>204</v>
      </c>
      <c r="F81" s="3">
        <v>115</v>
      </c>
      <c r="G81" s="3">
        <v>244</v>
      </c>
      <c r="H81" s="3">
        <v>224</v>
      </c>
      <c r="I81" s="3">
        <v>9</v>
      </c>
      <c r="J81" s="3">
        <v>24</v>
      </c>
      <c r="K81" s="3">
        <v>156</v>
      </c>
      <c r="L81" s="3">
        <v>244</v>
      </c>
      <c r="M81" s="3">
        <v>208</v>
      </c>
      <c r="N81" s="3">
        <v>188</v>
      </c>
      <c r="O81" s="3">
        <v>160</v>
      </c>
      <c r="P81" s="3">
        <v>116</v>
      </c>
      <c r="Q81" s="3">
        <v>223</v>
      </c>
      <c r="R81" s="3">
        <v>273</v>
      </c>
      <c r="S81" s="3">
        <v>261</v>
      </c>
      <c r="T81" s="3">
        <v>111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>
        <f t="shared" si="15"/>
        <v>3364</v>
      </c>
      <c r="BC81" s="1"/>
    </row>
    <row r="82" spans="1:55">
      <c r="A82" s="6" t="s">
        <v>41</v>
      </c>
      <c r="B82" s="3">
        <v>8</v>
      </c>
      <c r="C82" s="3">
        <v>0</v>
      </c>
      <c r="D82" s="3">
        <v>0</v>
      </c>
      <c r="E82" s="3">
        <v>7</v>
      </c>
      <c r="F82" s="3">
        <v>8</v>
      </c>
      <c r="G82" s="3">
        <v>8</v>
      </c>
      <c r="H82" s="3">
        <v>10</v>
      </c>
      <c r="I82" s="3">
        <v>1</v>
      </c>
      <c r="J82" s="3">
        <v>0</v>
      </c>
      <c r="K82" s="3">
        <v>4</v>
      </c>
      <c r="L82" s="3">
        <v>3</v>
      </c>
      <c r="M82" s="3">
        <v>3</v>
      </c>
      <c r="N82" s="3">
        <v>14</v>
      </c>
      <c r="O82" s="3">
        <v>0</v>
      </c>
      <c r="P82" s="3">
        <v>5</v>
      </c>
      <c r="Q82" s="3">
        <v>3</v>
      </c>
      <c r="R82" s="3">
        <v>5</v>
      </c>
      <c r="S82" s="3">
        <v>5</v>
      </c>
      <c r="T82" s="3">
        <v>0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>
        <f t="shared" si="15"/>
        <v>84</v>
      </c>
      <c r="BC82" s="1"/>
    </row>
    <row r="83" spans="1:55">
      <c r="A83" s="6" t="s">
        <v>42</v>
      </c>
      <c r="B83" s="3">
        <v>233</v>
      </c>
      <c r="C83" s="3">
        <v>211</v>
      </c>
      <c r="D83" s="3">
        <v>117</v>
      </c>
      <c r="E83" s="3">
        <v>232</v>
      </c>
      <c r="F83" s="3">
        <v>154</v>
      </c>
      <c r="G83" s="3">
        <v>117</v>
      </c>
      <c r="H83" s="3">
        <v>70</v>
      </c>
      <c r="I83" s="3">
        <v>0</v>
      </c>
      <c r="J83" s="3">
        <v>9</v>
      </c>
      <c r="K83" s="3">
        <v>58</v>
      </c>
      <c r="L83" s="3">
        <v>204</v>
      </c>
      <c r="M83" s="3">
        <v>160</v>
      </c>
      <c r="N83" s="3">
        <v>265</v>
      </c>
      <c r="O83" s="3">
        <v>308</v>
      </c>
      <c r="P83" s="3">
        <v>267</v>
      </c>
      <c r="Q83" s="3">
        <v>317</v>
      </c>
      <c r="R83" s="3">
        <v>389</v>
      </c>
      <c r="S83" s="3">
        <v>335</v>
      </c>
      <c r="T83" s="3">
        <v>286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>
        <f t="shared" si="15"/>
        <v>3732</v>
      </c>
      <c r="BC83" s="1"/>
    </row>
    <row r="84" spans="1:55">
      <c r="A84" s="6" t="s">
        <v>43</v>
      </c>
      <c r="B84" s="3">
        <v>433</v>
      </c>
      <c r="C84" s="3">
        <v>292</v>
      </c>
      <c r="D84" s="3">
        <v>449</v>
      </c>
      <c r="E84" s="3">
        <v>427</v>
      </c>
      <c r="F84" s="3">
        <v>522</v>
      </c>
      <c r="G84" s="3">
        <v>443</v>
      </c>
      <c r="H84" s="3">
        <v>315</v>
      </c>
      <c r="I84" s="3">
        <v>0</v>
      </c>
      <c r="J84" s="3">
        <v>1</v>
      </c>
      <c r="K84" s="3">
        <v>283</v>
      </c>
      <c r="L84" s="3">
        <v>437</v>
      </c>
      <c r="M84" s="3">
        <v>396</v>
      </c>
      <c r="N84" s="3">
        <v>258</v>
      </c>
      <c r="O84" s="3">
        <v>281</v>
      </c>
      <c r="P84" s="3">
        <v>276</v>
      </c>
      <c r="Q84" s="3">
        <v>413</v>
      </c>
      <c r="R84" s="3">
        <v>390</v>
      </c>
      <c r="S84" s="3">
        <v>432</v>
      </c>
      <c r="T84" s="3">
        <v>279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>
        <f t="shared" si="15"/>
        <v>6327</v>
      </c>
      <c r="BC84" s="1"/>
    </row>
    <row r="85" spans="1:55">
      <c r="A85" s="6" t="s">
        <v>44</v>
      </c>
      <c r="B85" s="3">
        <v>15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>
        <f t="shared" si="15"/>
        <v>15</v>
      </c>
      <c r="BC85" s="1"/>
    </row>
    <row r="86" spans="1:55">
      <c r="A86" s="6" t="s">
        <v>45</v>
      </c>
      <c r="B86" s="3">
        <v>80</v>
      </c>
      <c r="C86" s="3">
        <v>174</v>
      </c>
      <c r="D86" s="3">
        <v>172</v>
      </c>
      <c r="E86" s="3">
        <v>66</v>
      </c>
      <c r="F86" s="3">
        <v>84</v>
      </c>
      <c r="G86" s="3">
        <v>104</v>
      </c>
      <c r="H86" s="3">
        <v>131</v>
      </c>
      <c r="I86" s="3">
        <v>27</v>
      </c>
      <c r="J86" s="3">
        <v>37</v>
      </c>
      <c r="K86" s="3">
        <v>55</v>
      </c>
      <c r="L86" s="3">
        <v>68</v>
      </c>
      <c r="M86" s="3">
        <v>79</v>
      </c>
      <c r="N86" s="3">
        <v>103</v>
      </c>
      <c r="O86" s="3">
        <v>56</v>
      </c>
      <c r="P86" s="3">
        <v>47</v>
      </c>
      <c r="Q86" s="3">
        <v>76</v>
      </c>
      <c r="R86" s="3">
        <v>55</v>
      </c>
      <c r="S86" s="3">
        <v>94</v>
      </c>
      <c r="T86" s="3">
        <v>46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>
        <f t="shared" si="15"/>
        <v>1554</v>
      </c>
      <c r="BC86" s="1"/>
    </row>
    <row r="87" spans="1:55">
      <c r="A87" s="6" t="s">
        <v>47</v>
      </c>
      <c r="B87" s="3">
        <v>415</v>
      </c>
      <c r="C87" s="3">
        <v>682</v>
      </c>
      <c r="D87" s="3">
        <v>833</v>
      </c>
      <c r="E87" s="3">
        <v>496</v>
      </c>
      <c r="F87" s="3">
        <v>684</v>
      </c>
      <c r="G87" s="3">
        <v>910</v>
      </c>
      <c r="H87" s="3">
        <v>925</v>
      </c>
      <c r="I87" s="3">
        <v>301</v>
      </c>
      <c r="J87" s="3">
        <v>244</v>
      </c>
      <c r="K87" s="3">
        <v>451</v>
      </c>
      <c r="L87" s="3">
        <v>762</v>
      </c>
      <c r="M87" s="3">
        <v>601</v>
      </c>
      <c r="N87" s="3">
        <v>840</v>
      </c>
      <c r="O87" s="3">
        <v>846</v>
      </c>
      <c r="P87" s="3">
        <v>913</v>
      </c>
      <c r="Q87" s="3">
        <v>632</v>
      </c>
      <c r="R87" s="3">
        <v>483</v>
      </c>
      <c r="S87" s="3">
        <v>627</v>
      </c>
      <c r="T87" s="3">
        <v>291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>
        <f t="shared" si="15"/>
        <v>11936</v>
      </c>
      <c r="BC87" s="1"/>
    </row>
    <row r="88" spans="1:55">
      <c r="A88" s="6" t="s">
        <v>48</v>
      </c>
      <c r="B88" s="3">
        <v>644</v>
      </c>
      <c r="C88" s="3">
        <v>414</v>
      </c>
      <c r="D88" s="3">
        <v>572</v>
      </c>
      <c r="E88" s="3">
        <v>597</v>
      </c>
      <c r="F88" s="3">
        <v>609</v>
      </c>
      <c r="G88" s="3">
        <v>503</v>
      </c>
      <c r="H88" s="3">
        <v>719</v>
      </c>
      <c r="I88" s="3">
        <v>328</v>
      </c>
      <c r="J88" s="3">
        <v>124</v>
      </c>
      <c r="K88" s="3">
        <v>208</v>
      </c>
      <c r="L88" s="3">
        <v>359</v>
      </c>
      <c r="M88" s="3">
        <v>351</v>
      </c>
      <c r="N88" s="3">
        <v>480</v>
      </c>
      <c r="O88" s="3">
        <v>523</v>
      </c>
      <c r="P88" s="3">
        <v>503</v>
      </c>
      <c r="Q88" s="3">
        <v>864</v>
      </c>
      <c r="R88" s="3">
        <v>439</v>
      </c>
      <c r="S88" s="3">
        <v>613</v>
      </c>
      <c r="T88" s="3">
        <v>726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>
        <f t="shared" si="15"/>
        <v>9576</v>
      </c>
      <c r="BC88" s="1"/>
    </row>
    <row r="89" spans="1:55">
      <c r="A89" s="6" t="s">
        <v>49</v>
      </c>
      <c r="B89" s="3">
        <v>82</v>
      </c>
      <c r="C89" s="3">
        <v>129</v>
      </c>
      <c r="D89" s="3">
        <v>191</v>
      </c>
      <c r="E89" s="3">
        <v>127</v>
      </c>
      <c r="F89" s="3">
        <v>185</v>
      </c>
      <c r="G89" s="3">
        <v>337</v>
      </c>
      <c r="H89" s="3">
        <v>203</v>
      </c>
      <c r="I89" s="3">
        <v>103</v>
      </c>
      <c r="J89" s="3">
        <v>35</v>
      </c>
      <c r="K89" s="3">
        <v>152</v>
      </c>
      <c r="L89" s="3">
        <v>173</v>
      </c>
      <c r="M89" s="3">
        <v>299</v>
      </c>
      <c r="N89" s="3">
        <v>203</v>
      </c>
      <c r="O89" s="3">
        <v>74</v>
      </c>
      <c r="P89" s="3">
        <v>63</v>
      </c>
      <c r="Q89" s="3">
        <v>194</v>
      </c>
      <c r="R89" s="3">
        <v>73</v>
      </c>
      <c r="S89" s="3">
        <v>134</v>
      </c>
      <c r="T89" s="3">
        <v>117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>
        <f t="shared" si="15"/>
        <v>2874</v>
      </c>
      <c r="BC89" s="1"/>
    </row>
    <row r="90" spans="1:55">
      <c r="A90" s="6" t="s">
        <v>51</v>
      </c>
      <c r="B90" s="3">
        <v>750</v>
      </c>
      <c r="C90" s="3">
        <v>1059</v>
      </c>
      <c r="D90" s="3">
        <v>741</v>
      </c>
      <c r="E90" s="3">
        <v>978</v>
      </c>
      <c r="F90" s="3">
        <v>973</v>
      </c>
      <c r="G90" s="3">
        <v>735</v>
      </c>
      <c r="H90" s="3">
        <v>670</v>
      </c>
      <c r="I90" s="3">
        <v>436</v>
      </c>
      <c r="J90" s="3">
        <v>606</v>
      </c>
      <c r="K90" s="3">
        <v>1109</v>
      </c>
      <c r="L90" s="3">
        <v>1039</v>
      </c>
      <c r="M90" s="3">
        <v>1122</v>
      </c>
      <c r="N90" s="3">
        <v>1138</v>
      </c>
      <c r="O90" s="3">
        <v>1204</v>
      </c>
      <c r="P90" s="3">
        <v>771</v>
      </c>
      <c r="Q90" s="3">
        <v>1180</v>
      </c>
      <c r="R90" s="3">
        <v>1140</v>
      </c>
      <c r="S90" s="3">
        <v>743</v>
      </c>
      <c r="T90" s="3">
        <v>477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>
        <f t="shared" si="15"/>
        <v>16871</v>
      </c>
      <c r="BC90" s="1"/>
    </row>
    <row r="91" spans="1:55">
      <c r="A91" s="6" t="s">
        <v>52</v>
      </c>
      <c r="B91" s="3">
        <v>355</v>
      </c>
      <c r="C91" s="3">
        <v>110</v>
      </c>
      <c r="D91" s="3">
        <v>440</v>
      </c>
      <c r="E91" s="3">
        <v>400</v>
      </c>
      <c r="F91" s="3">
        <v>23</v>
      </c>
      <c r="G91" s="3">
        <v>250</v>
      </c>
      <c r="H91" s="3">
        <v>243</v>
      </c>
      <c r="I91" s="3">
        <v>186</v>
      </c>
      <c r="J91" s="3">
        <v>222</v>
      </c>
      <c r="K91" s="3">
        <v>315</v>
      </c>
      <c r="L91" s="3">
        <v>344</v>
      </c>
      <c r="M91" s="3">
        <v>211</v>
      </c>
      <c r="N91" s="3">
        <v>339</v>
      </c>
      <c r="O91" s="3">
        <v>312</v>
      </c>
      <c r="P91" s="3">
        <v>258</v>
      </c>
      <c r="Q91" s="3">
        <v>209</v>
      </c>
      <c r="R91" s="3">
        <v>10</v>
      </c>
      <c r="S91" s="3">
        <v>210</v>
      </c>
      <c r="T91" s="3">
        <v>140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>
        <f t="shared" si="15"/>
        <v>4577</v>
      </c>
      <c r="BC91" s="1"/>
    </row>
    <row r="92" spans="1:55">
      <c r="A92" s="6" t="s">
        <v>53</v>
      </c>
      <c r="B92" s="3">
        <v>994</v>
      </c>
      <c r="C92" s="3">
        <v>753</v>
      </c>
      <c r="D92" s="3">
        <v>820</v>
      </c>
      <c r="E92" s="3">
        <v>870</v>
      </c>
      <c r="F92" s="3">
        <v>805</v>
      </c>
      <c r="G92" s="3">
        <v>964</v>
      </c>
      <c r="H92" s="3">
        <v>924</v>
      </c>
      <c r="I92" s="3">
        <v>675</v>
      </c>
      <c r="J92" s="3">
        <v>224</v>
      </c>
      <c r="K92" s="3">
        <v>913</v>
      </c>
      <c r="L92" s="3">
        <v>828</v>
      </c>
      <c r="M92" s="3">
        <v>906</v>
      </c>
      <c r="N92" s="3">
        <v>693</v>
      </c>
      <c r="O92" s="3">
        <v>918</v>
      </c>
      <c r="P92" s="3">
        <v>843</v>
      </c>
      <c r="Q92" s="3">
        <v>1031</v>
      </c>
      <c r="R92" s="3">
        <v>969</v>
      </c>
      <c r="S92" s="3">
        <v>1009</v>
      </c>
      <c r="T92" s="3">
        <v>896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>
        <f t="shared" si="15"/>
        <v>16035</v>
      </c>
    </row>
    <row r="93" s="1" customFormat="1" spans="1:55">
      <c r="A93" s="20" t="s">
        <v>54</v>
      </c>
      <c r="B93" s="20">
        <v>112</v>
      </c>
      <c r="C93" s="20">
        <v>47</v>
      </c>
      <c r="D93" s="20">
        <v>108</v>
      </c>
      <c r="E93" s="20">
        <v>108</v>
      </c>
      <c r="F93" s="20">
        <v>133</v>
      </c>
      <c r="G93" s="20">
        <v>71</v>
      </c>
      <c r="H93" s="20">
        <v>116</v>
      </c>
      <c r="I93" s="20">
        <v>105</v>
      </c>
      <c r="J93" s="20">
        <v>19</v>
      </c>
      <c r="K93" s="20">
        <v>72</v>
      </c>
      <c r="L93" s="20">
        <v>88</v>
      </c>
      <c r="M93" s="20">
        <v>117</v>
      </c>
      <c r="N93" s="20">
        <v>71</v>
      </c>
      <c r="O93" s="20">
        <v>85</v>
      </c>
      <c r="P93" s="20">
        <v>70</v>
      </c>
      <c r="Q93" s="20">
        <v>146</v>
      </c>
      <c r="R93" s="20">
        <v>49</v>
      </c>
      <c r="S93" s="20">
        <v>9</v>
      </c>
      <c r="T93" s="20">
        <v>37</v>
      </c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9" s="1" customFormat="1" spans="1:54">
      <c r="A99" s="53" t="s">
        <v>364</v>
      </c>
      <c r="B99" s="3" t="s">
        <v>266</v>
      </c>
      <c r="C99" s="3" t="s">
        <v>267</v>
      </c>
      <c r="D99" s="3" t="s">
        <v>268</v>
      </c>
      <c r="E99" s="3" t="s">
        <v>269</v>
      </c>
      <c r="F99" s="3" t="s">
        <v>270</v>
      </c>
      <c r="G99" s="3" t="s">
        <v>271</v>
      </c>
      <c r="H99" s="3" t="s">
        <v>272</v>
      </c>
      <c r="I99" s="3" t="s">
        <v>273</v>
      </c>
      <c r="J99" s="3" t="s">
        <v>274</v>
      </c>
      <c r="K99" s="3" t="s">
        <v>275</v>
      </c>
      <c r="L99" s="3" t="s">
        <v>276</v>
      </c>
      <c r="M99" s="3" t="s">
        <v>277</v>
      </c>
      <c r="N99" s="3" t="s">
        <v>278</v>
      </c>
      <c r="O99" s="3" t="s">
        <v>279</v>
      </c>
      <c r="P99" s="3" t="s">
        <v>280</v>
      </c>
      <c r="Q99" s="3" t="s">
        <v>281</v>
      </c>
      <c r="R99" s="3" t="s">
        <v>282</v>
      </c>
      <c r="S99" s="3" t="s">
        <v>283</v>
      </c>
      <c r="T99" s="3" t="s">
        <v>284</v>
      </c>
      <c r="U99" s="3" t="s">
        <v>285</v>
      </c>
      <c r="V99" s="3" t="s">
        <v>286</v>
      </c>
      <c r="W99" s="3" t="s">
        <v>287</v>
      </c>
      <c r="X99" s="3" t="s">
        <v>288</v>
      </c>
      <c r="Y99" s="3" t="s">
        <v>289</v>
      </c>
      <c r="Z99" s="3" t="s">
        <v>290</v>
      </c>
      <c r="AA99" s="3" t="s">
        <v>291</v>
      </c>
      <c r="AB99" s="3" t="s">
        <v>292</v>
      </c>
      <c r="AC99" s="3" t="s">
        <v>293</v>
      </c>
      <c r="AD99" s="3" t="s">
        <v>294</v>
      </c>
      <c r="AE99" s="3" t="s">
        <v>295</v>
      </c>
      <c r="AF99" s="3" t="s">
        <v>296</v>
      </c>
      <c r="AG99" s="3" t="s">
        <v>297</v>
      </c>
      <c r="AH99" s="3" t="s">
        <v>298</v>
      </c>
      <c r="AI99" s="3" t="s">
        <v>299</v>
      </c>
      <c r="AJ99" s="3" t="s">
        <v>300</v>
      </c>
      <c r="AK99" s="3" t="s">
        <v>301</v>
      </c>
      <c r="AL99" s="3" t="s">
        <v>302</v>
      </c>
      <c r="AM99" s="3" t="s">
        <v>303</v>
      </c>
      <c r="AN99" s="3" t="s">
        <v>304</v>
      </c>
      <c r="AO99" s="3" t="s">
        <v>305</v>
      </c>
      <c r="AP99" s="3" t="s">
        <v>306</v>
      </c>
      <c r="AQ99" s="3" t="s">
        <v>307</v>
      </c>
      <c r="AR99" s="3" t="s">
        <v>308</v>
      </c>
      <c r="AS99" s="3" t="s">
        <v>309</v>
      </c>
      <c r="AT99" s="3" t="s">
        <v>310</v>
      </c>
      <c r="AU99" s="3" t="s">
        <v>311</v>
      </c>
      <c r="AV99" s="3" t="s">
        <v>312</v>
      </c>
      <c r="AW99" s="3" t="s">
        <v>313</v>
      </c>
      <c r="AX99" s="3" t="s">
        <v>314</v>
      </c>
      <c r="AY99" s="3" t="s">
        <v>315</v>
      </c>
      <c r="AZ99" s="3" t="s">
        <v>316</v>
      </c>
      <c r="BA99" s="3" t="s">
        <v>317</v>
      </c>
      <c r="BB99" s="3" t="s">
        <v>184</v>
      </c>
    </row>
    <row r="100" customFormat="1" spans="1:54">
      <c r="A100" s="6" t="s">
        <v>12</v>
      </c>
      <c r="B100" s="3">
        <v>753</v>
      </c>
      <c r="C100" s="3">
        <v>1038</v>
      </c>
      <c r="D100" s="3">
        <v>980</v>
      </c>
      <c r="E100" s="3">
        <v>980</v>
      </c>
      <c r="F100" s="3">
        <v>356</v>
      </c>
      <c r="G100" s="3">
        <v>175</v>
      </c>
      <c r="H100" s="3">
        <v>548</v>
      </c>
      <c r="I100" s="3">
        <v>878</v>
      </c>
      <c r="J100" s="3">
        <v>888</v>
      </c>
      <c r="K100" s="3">
        <v>985</v>
      </c>
      <c r="L100" s="3">
        <v>955</v>
      </c>
      <c r="M100" s="3">
        <v>1018</v>
      </c>
      <c r="N100" s="3">
        <v>999</v>
      </c>
      <c r="O100" s="3">
        <v>1228</v>
      </c>
      <c r="P100" s="3">
        <v>895</v>
      </c>
      <c r="Q100" s="3">
        <v>1186</v>
      </c>
      <c r="R100" s="3">
        <v>817</v>
      </c>
      <c r="S100" s="3">
        <v>1246</v>
      </c>
      <c r="T100" s="3">
        <v>740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>
        <f>SUM(B100:BA100)</f>
        <v>16665</v>
      </c>
    </row>
    <row r="101" customFormat="1" spans="1:54">
      <c r="A101" s="6" t="s">
        <v>19</v>
      </c>
      <c r="B101" s="3">
        <v>2744</v>
      </c>
      <c r="C101" s="3">
        <v>3284</v>
      </c>
      <c r="D101" s="3">
        <v>3308</v>
      </c>
      <c r="E101" s="3">
        <v>3117</v>
      </c>
      <c r="F101" s="3">
        <v>689</v>
      </c>
      <c r="G101" s="3">
        <v>50</v>
      </c>
      <c r="H101" s="3">
        <v>2542</v>
      </c>
      <c r="I101" s="3">
        <v>3287</v>
      </c>
      <c r="J101" s="3">
        <v>3031</v>
      </c>
      <c r="K101" s="3">
        <v>2715</v>
      </c>
      <c r="L101" s="3">
        <v>3256</v>
      </c>
      <c r="M101" s="3">
        <v>3070</v>
      </c>
      <c r="N101" s="3">
        <v>3475</v>
      </c>
      <c r="O101" s="3">
        <v>3452</v>
      </c>
      <c r="P101" s="3">
        <v>2396</v>
      </c>
      <c r="Q101" s="3">
        <v>2966</v>
      </c>
      <c r="R101" s="3">
        <v>2931</v>
      </c>
      <c r="S101" s="3">
        <v>3454</v>
      </c>
      <c r="T101" s="3">
        <v>1854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>
        <f t="shared" ref="BB101:BB107" si="16">SUM(B101:BA101)</f>
        <v>51621</v>
      </c>
    </row>
    <row r="102" customFormat="1" spans="1:54">
      <c r="A102" s="6" t="s">
        <v>30</v>
      </c>
      <c r="B102" s="3">
        <v>2789</v>
      </c>
      <c r="C102" s="3">
        <v>2835</v>
      </c>
      <c r="D102" s="3">
        <v>2734</v>
      </c>
      <c r="E102" s="3">
        <v>1950</v>
      </c>
      <c r="F102" s="3">
        <v>552</v>
      </c>
      <c r="G102" s="3">
        <v>357</v>
      </c>
      <c r="H102" s="3">
        <v>2138</v>
      </c>
      <c r="I102" s="3">
        <v>3146</v>
      </c>
      <c r="J102" s="3">
        <v>3031</v>
      </c>
      <c r="K102" s="3">
        <v>3087</v>
      </c>
      <c r="L102" s="3">
        <v>2892</v>
      </c>
      <c r="M102" s="3">
        <v>2641</v>
      </c>
      <c r="N102" s="3">
        <v>2572</v>
      </c>
      <c r="O102" s="3">
        <v>2965</v>
      </c>
      <c r="P102" s="3">
        <v>2508</v>
      </c>
      <c r="Q102" s="3">
        <v>2568</v>
      </c>
      <c r="R102" s="3">
        <v>3022</v>
      </c>
      <c r="S102" s="3">
        <v>2976</v>
      </c>
      <c r="T102" s="3">
        <v>2159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>
        <f t="shared" si="16"/>
        <v>46922</v>
      </c>
    </row>
    <row r="103" customFormat="1" spans="1:54">
      <c r="A103" s="6" t="s">
        <v>351</v>
      </c>
      <c r="B103" s="3">
        <v>922</v>
      </c>
      <c r="C103" s="3">
        <v>1012</v>
      </c>
      <c r="D103" s="3">
        <v>897</v>
      </c>
      <c r="E103" s="3">
        <v>1319</v>
      </c>
      <c r="F103" s="3">
        <v>534</v>
      </c>
      <c r="G103" s="3">
        <v>153</v>
      </c>
      <c r="H103" s="3">
        <v>653</v>
      </c>
      <c r="I103" s="3">
        <v>906</v>
      </c>
      <c r="J103" s="3">
        <v>733</v>
      </c>
      <c r="K103" s="3">
        <v>1259</v>
      </c>
      <c r="L103" s="3">
        <v>1393</v>
      </c>
      <c r="M103" s="3">
        <v>1396</v>
      </c>
      <c r="N103" s="3">
        <v>1679</v>
      </c>
      <c r="O103" s="3">
        <v>1426</v>
      </c>
      <c r="P103" s="3">
        <v>1138</v>
      </c>
      <c r="Q103" s="3">
        <v>1897</v>
      </c>
      <c r="R103" s="3">
        <v>1485</v>
      </c>
      <c r="S103" s="3">
        <v>1319</v>
      </c>
      <c r="T103" s="3">
        <v>1205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>
        <f t="shared" si="16"/>
        <v>21326</v>
      </c>
    </row>
    <row r="104" customFormat="1" spans="1:54">
      <c r="A104" s="6" t="s">
        <v>352</v>
      </c>
      <c r="B104" s="3">
        <v>1371</v>
      </c>
      <c r="C104" s="3">
        <v>1894</v>
      </c>
      <c r="D104" s="3">
        <v>1785</v>
      </c>
      <c r="E104" s="3">
        <v>1465</v>
      </c>
      <c r="F104" s="3">
        <v>942</v>
      </c>
      <c r="G104" s="3">
        <v>368</v>
      </c>
      <c r="H104" s="3">
        <v>858</v>
      </c>
      <c r="I104" s="3">
        <v>1186</v>
      </c>
      <c r="J104" s="3">
        <v>1527</v>
      </c>
      <c r="K104" s="3">
        <v>1889</v>
      </c>
      <c r="L104" s="3">
        <v>1608</v>
      </c>
      <c r="M104" s="3">
        <v>1509</v>
      </c>
      <c r="N104" s="3">
        <v>1527</v>
      </c>
      <c r="O104" s="3">
        <v>1779</v>
      </c>
      <c r="P104" s="3">
        <v>1656</v>
      </c>
      <c r="Q104" s="3">
        <v>2247</v>
      </c>
      <c r="R104" s="3">
        <v>1638</v>
      </c>
      <c r="S104" s="3">
        <v>1812</v>
      </c>
      <c r="T104" s="3">
        <v>1923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>
        <f t="shared" si="16"/>
        <v>28984</v>
      </c>
    </row>
    <row r="105" customFormat="1" spans="1:54">
      <c r="A105" s="6" t="s">
        <v>9</v>
      </c>
      <c r="B105" s="3">
        <v>347</v>
      </c>
      <c r="C105" s="3">
        <v>396</v>
      </c>
      <c r="D105" s="3">
        <v>442</v>
      </c>
      <c r="E105" s="3">
        <v>365</v>
      </c>
      <c r="F105" s="3">
        <v>80</v>
      </c>
      <c r="G105" s="3">
        <v>80</v>
      </c>
      <c r="H105" s="3">
        <v>295</v>
      </c>
      <c r="I105" s="3">
        <v>386</v>
      </c>
      <c r="J105" s="3">
        <v>421</v>
      </c>
      <c r="K105" s="3">
        <v>420</v>
      </c>
      <c r="L105" s="3">
        <v>506</v>
      </c>
      <c r="M105" s="3">
        <v>340</v>
      </c>
      <c r="N105" s="3">
        <v>549</v>
      </c>
      <c r="O105" s="3">
        <v>464</v>
      </c>
      <c r="P105" s="3">
        <v>386</v>
      </c>
      <c r="Q105" s="3">
        <v>345</v>
      </c>
      <c r="R105" s="3">
        <v>469</v>
      </c>
      <c r="S105" s="3">
        <v>544</v>
      </c>
      <c r="T105" s="3">
        <v>225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>
        <f t="shared" si="16"/>
        <v>7060</v>
      </c>
    </row>
    <row r="106" customFormat="1" spans="1:54">
      <c r="A106" s="6" t="s">
        <v>205</v>
      </c>
      <c r="B106" s="3">
        <v>8926</v>
      </c>
      <c r="C106" s="3">
        <v>10459</v>
      </c>
      <c r="D106" s="3">
        <v>10146</v>
      </c>
      <c r="E106" s="3">
        <v>9196</v>
      </c>
      <c r="F106" s="3">
        <v>3153</v>
      </c>
      <c r="G106" s="3">
        <v>1183</v>
      </c>
      <c r="H106" s="3">
        <v>7034</v>
      </c>
      <c r="I106" s="3">
        <v>9789</v>
      </c>
      <c r="J106" s="3">
        <v>9631</v>
      </c>
      <c r="K106" s="3">
        <v>10355</v>
      </c>
      <c r="L106" s="3">
        <v>10610</v>
      </c>
      <c r="M106" s="3">
        <v>9974</v>
      </c>
      <c r="N106" s="3">
        <v>10801</v>
      </c>
      <c r="O106" s="3">
        <v>11314</v>
      </c>
      <c r="P106" s="3">
        <v>8979</v>
      </c>
      <c r="Q106" s="3">
        <v>11209</v>
      </c>
      <c r="R106" s="3">
        <v>10362</v>
      </c>
      <c r="S106" s="3">
        <v>11351</v>
      </c>
      <c r="T106" s="3">
        <v>8106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>
        <f t="shared" si="16"/>
        <v>172578</v>
      </c>
    </row>
    <row r="107" customFormat="1" spans="1:54">
      <c r="A107" s="152" t="s">
        <v>353</v>
      </c>
      <c r="B107" s="153">
        <v>14499</v>
      </c>
      <c r="C107" s="153">
        <v>18379</v>
      </c>
      <c r="D107" s="153">
        <v>17006</v>
      </c>
      <c r="E107" s="153">
        <v>15323</v>
      </c>
      <c r="F107" s="153">
        <v>5766</v>
      </c>
      <c r="G107" s="153">
        <v>2111</v>
      </c>
      <c r="H107" s="153">
        <v>12096</v>
      </c>
      <c r="I107" s="153">
        <v>16034</v>
      </c>
      <c r="J107" s="153">
        <v>16294</v>
      </c>
      <c r="K107" s="153">
        <v>15962</v>
      </c>
      <c r="L107" s="153">
        <v>17310</v>
      </c>
      <c r="M107" s="153">
        <v>18023</v>
      </c>
      <c r="N107" s="153">
        <v>17387</v>
      </c>
      <c r="O107" s="153">
        <v>17438</v>
      </c>
      <c r="P107" s="153">
        <v>15147</v>
      </c>
      <c r="Q107" s="153">
        <v>18408</v>
      </c>
      <c r="R107" s="153">
        <v>17759</v>
      </c>
      <c r="S107" s="153">
        <v>18153</v>
      </c>
      <c r="T107" s="153">
        <v>12549</v>
      </c>
      <c r="U107" s="153"/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/>
      <c r="AO107" s="153"/>
      <c r="AP107" s="153"/>
      <c r="AQ107" s="153"/>
      <c r="AR107" s="153"/>
      <c r="AS107" s="153"/>
      <c r="AT107" s="153"/>
      <c r="AU107" s="153"/>
      <c r="AV107" s="153"/>
      <c r="AW107" s="153"/>
      <c r="AX107" s="153"/>
      <c r="AY107" s="153"/>
      <c r="AZ107" s="153"/>
      <c r="BA107" s="153"/>
      <c r="BB107" s="154">
        <f t="shared" si="16"/>
        <v>285644</v>
      </c>
    </row>
    <row r="108" customFormat="1" spans="1:5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customFormat="1" spans="1:54">
      <c r="A109" s="12" t="s">
        <v>265</v>
      </c>
      <c r="B109" s="3" t="s">
        <v>266</v>
      </c>
      <c r="C109" s="3" t="s">
        <v>267</v>
      </c>
      <c r="D109" s="3" t="s">
        <v>268</v>
      </c>
      <c r="E109" s="3" t="s">
        <v>269</v>
      </c>
      <c r="F109" s="3" t="s">
        <v>270</v>
      </c>
      <c r="G109" s="3" t="s">
        <v>271</v>
      </c>
      <c r="H109" s="3" t="s">
        <v>272</v>
      </c>
      <c r="I109" s="3" t="s">
        <v>273</v>
      </c>
      <c r="J109" s="3" t="s">
        <v>274</v>
      </c>
      <c r="K109" s="3" t="s">
        <v>275</v>
      </c>
      <c r="L109" s="3" t="s">
        <v>276</v>
      </c>
      <c r="M109" s="3" t="s">
        <v>277</v>
      </c>
      <c r="N109" s="3" t="s">
        <v>278</v>
      </c>
      <c r="O109" s="3" t="s">
        <v>279</v>
      </c>
      <c r="P109" s="3" t="s">
        <v>280</v>
      </c>
      <c r="Q109" s="3" t="s">
        <v>281</v>
      </c>
      <c r="R109" s="3" t="s">
        <v>282</v>
      </c>
      <c r="S109" s="3" t="s">
        <v>283</v>
      </c>
      <c r="T109" s="3" t="s">
        <v>284</v>
      </c>
      <c r="U109" s="3" t="s">
        <v>285</v>
      </c>
      <c r="V109" s="3" t="s">
        <v>286</v>
      </c>
      <c r="W109" s="3" t="s">
        <v>287</v>
      </c>
      <c r="X109" s="3" t="s">
        <v>288</v>
      </c>
      <c r="Y109" s="3" t="s">
        <v>289</v>
      </c>
      <c r="Z109" s="3" t="s">
        <v>290</v>
      </c>
      <c r="AA109" s="3" t="s">
        <v>291</v>
      </c>
      <c r="AB109" s="3" t="s">
        <v>292</v>
      </c>
      <c r="AC109" s="3" t="s">
        <v>293</v>
      </c>
      <c r="AD109" s="3" t="s">
        <v>294</v>
      </c>
      <c r="AE109" s="3" t="s">
        <v>295</v>
      </c>
      <c r="AF109" s="3" t="s">
        <v>296</v>
      </c>
      <c r="AG109" s="3" t="s">
        <v>297</v>
      </c>
      <c r="AH109" s="3" t="s">
        <v>298</v>
      </c>
      <c r="AI109" s="3" t="s">
        <v>299</v>
      </c>
      <c r="AJ109" s="3" t="s">
        <v>300</v>
      </c>
      <c r="AK109" s="3" t="s">
        <v>301</v>
      </c>
      <c r="AL109" s="3" t="s">
        <v>302</v>
      </c>
      <c r="AM109" s="3" t="s">
        <v>303</v>
      </c>
      <c r="AN109" s="3" t="s">
        <v>304</v>
      </c>
      <c r="AO109" s="3" t="s">
        <v>305</v>
      </c>
      <c r="AP109" s="3" t="s">
        <v>306</v>
      </c>
      <c r="AQ109" s="3" t="s">
        <v>307</v>
      </c>
      <c r="AR109" s="3" t="s">
        <v>308</v>
      </c>
      <c r="AS109" s="3" t="s">
        <v>309</v>
      </c>
      <c r="AT109" s="3" t="s">
        <v>310</v>
      </c>
      <c r="AU109" s="3" t="s">
        <v>311</v>
      </c>
      <c r="AV109" s="3" t="s">
        <v>312</v>
      </c>
      <c r="AW109" s="3" t="s">
        <v>313</v>
      </c>
      <c r="AX109" s="3" t="s">
        <v>314</v>
      </c>
      <c r="AY109" s="3" t="s">
        <v>315</v>
      </c>
      <c r="AZ109" s="3" t="s">
        <v>316</v>
      </c>
      <c r="BA109" s="3" t="s">
        <v>317</v>
      </c>
      <c r="BB109" s="3" t="s">
        <v>184</v>
      </c>
    </row>
    <row r="110" customFormat="1" spans="1:54">
      <c r="A110" s="6" t="s">
        <v>12</v>
      </c>
      <c r="B110" s="44">
        <v>340709.9</v>
      </c>
      <c r="C110" s="44">
        <v>481723.07</v>
      </c>
      <c r="D110" s="44">
        <v>483504.59</v>
      </c>
      <c r="E110" s="44">
        <v>401035.25</v>
      </c>
      <c r="F110" s="44">
        <v>134349.35</v>
      </c>
      <c r="G110" s="44">
        <v>70140.25</v>
      </c>
      <c r="H110" s="44">
        <v>265862.43</v>
      </c>
      <c r="I110" s="44">
        <v>426240.77</v>
      </c>
      <c r="J110" s="44">
        <v>393049.37</v>
      </c>
      <c r="K110" s="44">
        <v>426669.99</v>
      </c>
      <c r="L110" s="44">
        <v>431979.51</v>
      </c>
      <c r="M110" s="44">
        <v>452885.36</v>
      </c>
      <c r="N110" s="44">
        <v>456493.04</v>
      </c>
      <c r="O110" s="44">
        <v>547763.95</v>
      </c>
      <c r="P110" s="44">
        <v>413556.06</v>
      </c>
      <c r="Q110" s="44">
        <v>503517.44</v>
      </c>
      <c r="R110" s="44">
        <v>369791.2</v>
      </c>
      <c r="S110" s="44">
        <v>581346.53</v>
      </c>
      <c r="T110" s="44">
        <v>328729.75</v>
      </c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>
        <f>SUM(B110:BA110)</f>
        <v>7509347.81</v>
      </c>
    </row>
    <row r="111" customFormat="1" spans="1:54">
      <c r="A111" s="6" t="s">
        <v>19</v>
      </c>
      <c r="B111" s="44">
        <v>694973.19</v>
      </c>
      <c r="C111" s="44">
        <v>784258.41</v>
      </c>
      <c r="D111" s="44">
        <v>890215.45</v>
      </c>
      <c r="E111" s="44">
        <v>773069.56</v>
      </c>
      <c r="F111" s="44">
        <v>208981.88</v>
      </c>
      <c r="G111" s="44">
        <v>54032.88</v>
      </c>
      <c r="H111" s="44">
        <v>637571.57</v>
      </c>
      <c r="I111" s="44">
        <v>834191.43</v>
      </c>
      <c r="J111" s="44">
        <v>755669.44</v>
      </c>
      <c r="K111" s="44">
        <v>686129.96</v>
      </c>
      <c r="L111" s="44">
        <v>844746.44</v>
      </c>
      <c r="M111" s="44">
        <v>724880.82</v>
      </c>
      <c r="N111" s="44">
        <v>855447.93</v>
      </c>
      <c r="O111" s="44">
        <v>820613.56</v>
      </c>
      <c r="P111" s="44">
        <v>577546.21</v>
      </c>
      <c r="Q111" s="44">
        <v>743867.28</v>
      </c>
      <c r="R111" s="44">
        <v>713948.69</v>
      </c>
      <c r="S111" s="44">
        <v>861809.26</v>
      </c>
      <c r="T111" s="44">
        <v>396931.06</v>
      </c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>
        <f t="shared" ref="BB111:BB117" si="17">SUM(B111:BA111)</f>
        <v>12858885.02</v>
      </c>
    </row>
    <row r="112" customFormat="1" spans="1:54">
      <c r="A112" s="6" t="s">
        <v>30</v>
      </c>
      <c r="B112" s="44">
        <v>884795.68</v>
      </c>
      <c r="C112" s="44">
        <v>831520.29</v>
      </c>
      <c r="D112" s="44">
        <v>845352.38</v>
      </c>
      <c r="E112" s="44">
        <v>546465.09</v>
      </c>
      <c r="F112" s="44">
        <v>150020.3</v>
      </c>
      <c r="G112" s="44">
        <v>134361.81</v>
      </c>
      <c r="H112" s="44">
        <v>619001.48</v>
      </c>
      <c r="I112" s="44">
        <v>807358.44</v>
      </c>
      <c r="J112" s="44">
        <v>824783.57</v>
      </c>
      <c r="K112" s="44">
        <v>942955.78</v>
      </c>
      <c r="L112" s="44">
        <v>866187.12</v>
      </c>
      <c r="M112" s="44">
        <v>740795.99</v>
      </c>
      <c r="N112" s="44">
        <v>734880.52</v>
      </c>
      <c r="O112" s="44">
        <v>906898.23</v>
      </c>
      <c r="P112" s="44">
        <v>678226.65</v>
      </c>
      <c r="Q112" s="44">
        <v>710083.02</v>
      </c>
      <c r="R112" s="44">
        <v>781007.18</v>
      </c>
      <c r="S112" s="44">
        <v>898458.44</v>
      </c>
      <c r="T112" s="44">
        <v>565963.47</v>
      </c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>
        <f t="shared" si="17"/>
        <v>13469115.44</v>
      </c>
    </row>
    <row r="113" customFormat="1" spans="1:54">
      <c r="A113" s="6" t="s">
        <v>351</v>
      </c>
      <c r="B113" s="44">
        <v>286447.52</v>
      </c>
      <c r="C113" s="44">
        <v>384217.53</v>
      </c>
      <c r="D113" s="44">
        <v>328679.58</v>
      </c>
      <c r="E113" s="44">
        <v>455393.76</v>
      </c>
      <c r="F113" s="44">
        <v>227545.4</v>
      </c>
      <c r="G113" s="44">
        <v>66384.92</v>
      </c>
      <c r="H113" s="44">
        <v>220069.94</v>
      </c>
      <c r="I113" s="44">
        <v>334566.4</v>
      </c>
      <c r="J113" s="44">
        <v>308048.19</v>
      </c>
      <c r="K113" s="44">
        <v>422208.58</v>
      </c>
      <c r="L113" s="44">
        <v>545621.64</v>
      </c>
      <c r="M113" s="44">
        <v>504958.76</v>
      </c>
      <c r="N113" s="44">
        <v>584452.93</v>
      </c>
      <c r="O113" s="44">
        <v>547365.2</v>
      </c>
      <c r="P113" s="44">
        <v>341197.38</v>
      </c>
      <c r="Q113" s="44">
        <v>699916.44</v>
      </c>
      <c r="R113" s="44">
        <v>498948.75</v>
      </c>
      <c r="S113" s="44">
        <v>454935.61</v>
      </c>
      <c r="T113" s="44">
        <v>347968.51</v>
      </c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>
        <f t="shared" si="17"/>
        <v>7558927.04</v>
      </c>
    </row>
    <row r="114" customFormat="1" spans="1:54">
      <c r="A114" s="6" t="s">
        <v>352</v>
      </c>
      <c r="B114" s="44">
        <v>608961.87</v>
      </c>
      <c r="C114" s="44">
        <v>745723.46</v>
      </c>
      <c r="D114" s="44">
        <v>736237.22</v>
      </c>
      <c r="E114" s="44">
        <v>583930.06</v>
      </c>
      <c r="F114" s="44">
        <v>345895.49</v>
      </c>
      <c r="G114" s="44">
        <v>158808.32</v>
      </c>
      <c r="H114" s="44">
        <v>404128.77</v>
      </c>
      <c r="I114" s="44">
        <v>543089.22</v>
      </c>
      <c r="J114" s="44">
        <v>599498.78</v>
      </c>
      <c r="K114" s="44">
        <v>734124.84</v>
      </c>
      <c r="L114" s="44">
        <v>675821.68</v>
      </c>
      <c r="M114" s="44">
        <v>641728.73</v>
      </c>
      <c r="N114" s="44">
        <v>641849.11</v>
      </c>
      <c r="O114" s="44">
        <v>695112.41</v>
      </c>
      <c r="P114" s="44">
        <v>617557.32</v>
      </c>
      <c r="Q114" s="44">
        <v>733865.1</v>
      </c>
      <c r="R114" s="44">
        <v>637108.74</v>
      </c>
      <c r="S114" s="44">
        <v>695837.73</v>
      </c>
      <c r="T114" s="44">
        <v>676411.95</v>
      </c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>
        <f t="shared" si="17"/>
        <v>11475690.8</v>
      </c>
    </row>
    <row r="115" customFormat="1" spans="1:54">
      <c r="A115" s="6" t="s">
        <v>9</v>
      </c>
      <c r="B115" s="44">
        <v>255223.54</v>
      </c>
      <c r="C115" s="44">
        <v>234750.62</v>
      </c>
      <c r="D115" s="44">
        <v>302763.62</v>
      </c>
      <c r="E115" s="44">
        <v>393227.58</v>
      </c>
      <c r="F115" s="44">
        <v>37585.71</v>
      </c>
      <c r="G115" s="44">
        <v>32910.14</v>
      </c>
      <c r="H115" s="44">
        <v>369641.55</v>
      </c>
      <c r="I115" s="44">
        <v>261815.89</v>
      </c>
      <c r="J115" s="44">
        <v>252634.66</v>
      </c>
      <c r="K115" s="44">
        <v>265985.6</v>
      </c>
      <c r="L115" s="44">
        <v>284579.83</v>
      </c>
      <c r="M115" s="44">
        <v>223525.93</v>
      </c>
      <c r="N115" s="44">
        <v>424697.14</v>
      </c>
      <c r="O115" s="44">
        <v>289016.01</v>
      </c>
      <c r="P115" s="44">
        <v>330575.79</v>
      </c>
      <c r="Q115" s="44">
        <v>282212.73</v>
      </c>
      <c r="R115" s="44">
        <v>256963.72</v>
      </c>
      <c r="S115" s="44">
        <v>272298.35</v>
      </c>
      <c r="T115" s="44">
        <v>213514.45</v>
      </c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>
        <f t="shared" si="17"/>
        <v>4983922.86</v>
      </c>
    </row>
    <row r="116" customFormat="1" spans="1:54">
      <c r="A116" s="6" t="s">
        <v>205</v>
      </c>
      <c r="B116" s="44">
        <v>3071111.69</v>
      </c>
      <c r="C116" s="44">
        <v>3462193.38</v>
      </c>
      <c r="D116" s="44">
        <v>3586752.84</v>
      </c>
      <c r="E116" s="44">
        <v>3153121.3</v>
      </c>
      <c r="F116" s="44">
        <v>1104378.13</v>
      </c>
      <c r="G116" s="44">
        <v>516638.32</v>
      </c>
      <c r="H116" s="44">
        <v>2516275.74</v>
      </c>
      <c r="I116" s="44">
        <v>3207262.15</v>
      </c>
      <c r="J116" s="44">
        <v>3133684.01</v>
      </c>
      <c r="K116" s="44">
        <v>3478074.75</v>
      </c>
      <c r="L116" s="44">
        <v>3648936.22</v>
      </c>
      <c r="M116" s="44">
        <v>3288775.59</v>
      </c>
      <c r="N116" s="44">
        <v>3697820.67</v>
      </c>
      <c r="O116" s="44">
        <v>3806769.36</v>
      </c>
      <c r="P116" s="44">
        <v>2958659.41</v>
      </c>
      <c r="Q116" s="44">
        <v>3673462.01</v>
      </c>
      <c r="R116" s="44">
        <v>3257768.28</v>
      </c>
      <c r="S116" s="44">
        <v>3764685.92</v>
      </c>
      <c r="T116" s="44">
        <v>2529519.19</v>
      </c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>
        <f t="shared" si="17"/>
        <v>57855888.96</v>
      </c>
    </row>
    <row r="117" customFormat="1" spans="1:54">
      <c r="A117" s="152" t="s">
        <v>362</v>
      </c>
      <c r="B117" s="161">
        <v>4359686.02</v>
      </c>
      <c r="C117" s="161">
        <v>5258379.96</v>
      </c>
      <c r="D117" s="161">
        <v>5188532.25</v>
      </c>
      <c r="E117" s="161">
        <v>4561611.09</v>
      </c>
      <c r="F117" s="161">
        <v>1576205.08</v>
      </c>
      <c r="G117" s="161">
        <v>712740.6</v>
      </c>
      <c r="H117" s="161">
        <v>3596237.24</v>
      </c>
      <c r="I117" s="161">
        <v>4503300.93</v>
      </c>
      <c r="J117" s="161">
        <v>4658310.21</v>
      </c>
      <c r="K117" s="161">
        <v>4711383.93</v>
      </c>
      <c r="L117" s="161">
        <v>5215736.12</v>
      </c>
      <c r="M117" s="161">
        <v>5165058.93</v>
      </c>
      <c r="N117" s="161">
        <v>5304339.45</v>
      </c>
      <c r="O117" s="161">
        <v>5211016.67</v>
      </c>
      <c r="P117" s="161">
        <v>4587786.53</v>
      </c>
      <c r="Q117" s="161">
        <v>5451546.73</v>
      </c>
      <c r="R117" s="161">
        <v>5097352.96</v>
      </c>
      <c r="S117" s="161">
        <v>5355688.52</v>
      </c>
      <c r="T117" s="161">
        <v>3577299.5</v>
      </c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A117" s="161"/>
      <c r="BB117" s="162">
        <f t="shared" si="17"/>
        <v>84092212.72</v>
      </c>
    </row>
    <row r="121" s="1" customFormat="1" spans="1:54">
      <c r="A121" s="53" t="s">
        <v>364</v>
      </c>
      <c r="B121" s="3" t="s">
        <v>266</v>
      </c>
      <c r="C121" s="3" t="s">
        <v>267</v>
      </c>
      <c r="D121" s="3" t="s">
        <v>268</v>
      </c>
      <c r="E121" s="3" t="s">
        <v>269</v>
      </c>
      <c r="F121" s="3" t="s">
        <v>270</v>
      </c>
      <c r="G121" s="3" t="s">
        <v>271</v>
      </c>
      <c r="H121" s="3" t="s">
        <v>272</v>
      </c>
      <c r="I121" s="3" t="s">
        <v>273</v>
      </c>
      <c r="J121" s="3" t="s">
        <v>274</v>
      </c>
      <c r="K121" s="3" t="s">
        <v>275</v>
      </c>
      <c r="L121" s="3" t="s">
        <v>276</v>
      </c>
      <c r="M121" s="3" t="s">
        <v>277</v>
      </c>
      <c r="N121" s="3" t="s">
        <v>278</v>
      </c>
      <c r="O121" s="3" t="s">
        <v>279</v>
      </c>
      <c r="P121" s="3" t="s">
        <v>280</v>
      </c>
      <c r="Q121" s="3" t="s">
        <v>281</v>
      </c>
      <c r="R121" s="3" t="s">
        <v>282</v>
      </c>
      <c r="S121" s="3" t="s">
        <v>283</v>
      </c>
      <c r="T121" s="3" t="s">
        <v>284</v>
      </c>
      <c r="U121" s="3" t="s">
        <v>285</v>
      </c>
      <c r="V121" s="3" t="s">
        <v>286</v>
      </c>
      <c r="W121" s="3" t="s">
        <v>287</v>
      </c>
      <c r="X121" s="3" t="s">
        <v>288</v>
      </c>
      <c r="Y121" s="3" t="s">
        <v>289</v>
      </c>
      <c r="Z121" s="3" t="s">
        <v>290</v>
      </c>
      <c r="AA121" s="3" t="s">
        <v>291</v>
      </c>
      <c r="AB121" s="3" t="s">
        <v>292</v>
      </c>
      <c r="AC121" s="3" t="s">
        <v>293</v>
      </c>
      <c r="AD121" s="3" t="s">
        <v>294</v>
      </c>
      <c r="AE121" s="3" t="s">
        <v>295</v>
      </c>
      <c r="AF121" s="3" t="s">
        <v>296</v>
      </c>
      <c r="AG121" s="3" t="s">
        <v>297</v>
      </c>
      <c r="AH121" s="3" t="s">
        <v>298</v>
      </c>
      <c r="AI121" s="3" t="s">
        <v>299</v>
      </c>
      <c r="AJ121" s="3" t="s">
        <v>300</v>
      </c>
      <c r="AK121" s="3" t="s">
        <v>301</v>
      </c>
      <c r="AL121" s="3" t="s">
        <v>302</v>
      </c>
      <c r="AM121" s="3" t="s">
        <v>303</v>
      </c>
      <c r="AN121" s="3" t="s">
        <v>304</v>
      </c>
      <c r="AO121" s="3" t="s">
        <v>305</v>
      </c>
      <c r="AP121" s="3" t="s">
        <v>306</v>
      </c>
      <c r="AQ121" s="3" t="s">
        <v>307</v>
      </c>
      <c r="AR121" s="3" t="s">
        <v>308</v>
      </c>
      <c r="AS121" s="3" t="s">
        <v>309</v>
      </c>
      <c r="AT121" s="3" t="s">
        <v>310</v>
      </c>
      <c r="AU121" s="3" t="s">
        <v>311</v>
      </c>
      <c r="AV121" s="3" t="s">
        <v>312</v>
      </c>
      <c r="AW121" s="3" t="s">
        <v>313</v>
      </c>
      <c r="AX121" s="3" t="s">
        <v>314</v>
      </c>
      <c r="AY121" s="3" t="s">
        <v>315</v>
      </c>
      <c r="AZ121" s="3" t="s">
        <v>316</v>
      </c>
      <c r="BA121" s="3" t="s">
        <v>317</v>
      </c>
      <c r="BB121" s="3" t="s">
        <v>184</v>
      </c>
    </row>
    <row r="122" customFormat="1" spans="1:54">
      <c r="A122" s="6" t="s">
        <v>12</v>
      </c>
      <c r="B122" s="3">
        <v>753</v>
      </c>
      <c r="C122" s="3">
        <v>1038</v>
      </c>
      <c r="D122" s="3">
        <v>980</v>
      </c>
      <c r="E122" s="3">
        <v>980</v>
      </c>
      <c r="F122" s="3">
        <v>356</v>
      </c>
      <c r="G122" s="3">
        <v>175</v>
      </c>
      <c r="H122" s="3">
        <v>548</v>
      </c>
      <c r="I122" s="3">
        <v>878</v>
      </c>
      <c r="J122" s="3">
        <v>888</v>
      </c>
      <c r="K122" s="3">
        <v>985</v>
      </c>
      <c r="L122" s="3">
        <v>955</v>
      </c>
      <c r="M122" s="3">
        <v>1018</v>
      </c>
      <c r="N122" s="3">
        <v>999</v>
      </c>
      <c r="O122" s="3">
        <v>1228</v>
      </c>
      <c r="P122" s="3">
        <v>895</v>
      </c>
      <c r="Q122" s="3">
        <v>1186</v>
      </c>
      <c r="R122" s="3">
        <v>817</v>
      </c>
      <c r="S122" s="3">
        <v>1246</v>
      </c>
      <c r="T122" s="3">
        <v>740</v>
      </c>
      <c r="U122" s="3">
        <v>1202</v>
      </c>
      <c r="V122" s="3">
        <v>1156</v>
      </c>
      <c r="W122" s="3">
        <v>1141</v>
      </c>
      <c r="X122" s="3">
        <v>803</v>
      </c>
      <c r="Y122" s="3">
        <v>1078</v>
      </c>
      <c r="Z122" s="3">
        <v>780</v>
      </c>
      <c r="AA122" s="3">
        <v>1062</v>
      </c>
      <c r="AB122" s="3">
        <v>943</v>
      </c>
      <c r="AC122" s="3">
        <v>1094</v>
      </c>
      <c r="AD122" s="3">
        <v>901</v>
      </c>
      <c r="AE122" s="3">
        <v>910</v>
      </c>
      <c r="AF122" s="3">
        <v>956</v>
      </c>
      <c r="AG122" s="3">
        <v>752</v>
      </c>
      <c r="AH122" s="3">
        <v>933</v>
      </c>
      <c r="AI122" s="3">
        <v>848</v>
      </c>
      <c r="AJ122" s="3">
        <v>1283</v>
      </c>
      <c r="AK122" s="3">
        <v>895</v>
      </c>
      <c r="AL122" s="3">
        <v>660</v>
      </c>
      <c r="AM122" s="3">
        <v>944</v>
      </c>
      <c r="AN122" s="3">
        <v>513</v>
      </c>
      <c r="AO122" s="3">
        <v>732</v>
      </c>
      <c r="AP122" s="3">
        <v>732</v>
      </c>
      <c r="AQ122" s="3">
        <v>1043</v>
      </c>
      <c r="AR122" s="3">
        <v>1096</v>
      </c>
      <c r="AS122" s="3">
        <v>1077</v>
      </c>
      <c r="AT122" s="3">
        <v>1028</v>
      </c>
      <c r="AU122" s="3">
        <v>1119</v>
      </c>
      <c r="AV122" s="3">
        <v>791</v>
      </c>
      <c r="AW122" s="3">
        <v>1151</v>
      </c>
      <c r="AX122" s="3">
        <v>1109</v>
      </c>
      <c r="AY122" s="3">
        <v>912</v>
      </c>
      <c r="AZ122" s="3">
        <v>875</v>
      </c>
      <c r="BA122" s="3">
        <v>873</v>
      </c>
      <c r="BB122" s="3">
        <v>48057</v>
      </c>
    </row>
    <row r="123" customFormat="1" spans="1:54">
      <c r="A123" s="6" t="s">
        <v>19</v>
      </c>
      <c r="B123" s="3">
        <v>2744</v>
      </c>
      <c r="C123" s="3">
        <v>3284</v>
      </c>
      <c r="D123" s="3">
        <v>3308</v>
      </c>
      <c r="E123" s="3">
        <v>3117</v>
      </c>
      <c r="F123" s="3">
        <v>689</v>
      </c>
      <c r="G123" s="3">
        <v>50</v>
      </c>
      <c r="H123" s="3">
        <v>2542</v>
      </c>
      <c r="I123" s="3">
        <v>3287</v>
      </c>
      <c r="J123" s="3">
        <v>3031</v>
      </c>
      <c r="K123" s="3">
        <v>2715</v>
      </c>
      <c r="L123" s="3">
        <v>3256</v>
      </c>
      <c r="M123" s="3">
        <v>3070</v>
      </c>
      <c r="N123" s="3">
        <v>3475</v>
      </c>
      <c r="O123" s="3">
        <v>3452</v>
      </c>
      <c r="P123" s="3">
        <v>2396</v>
      </c>
      <c r="Q123" s="3">
        <v>2966</v>
      </c>
      <c r="R123" s="3">
        <v>2931</v>
      </c>
      <c r="S123" s="3">
        <v>3454</v>
      </c>
      <c r="T123" s="3">
        <v>1854</v>
      </c>
      <c r="U123" s="3">
        <v>3270</v>
      </c>
      <c r="V123" s="3">
        <v>2838</v>
      </c>
      <c r="W123" s="3">
        <v>2799</v>
      </c>
      <c r="X123" s="3">
        <v>2661</v>
      </c>
      <c r="Y123" s="3">
        <v>2874</v>
      </c>
      <c r="Z123" s="3">
        <v>2693</v>
      </c>
      <c r="AA123" s="3">
        <v>2853</v>
      </c>
      <c r="AB123" s="3">
        <v>3141</v>
      </c>
      <c r="AC123" s="3">
        <v>2777</v>
      </c>
      <c r="AD123" s="3">
        <v>2820</v>
      </c>
      <c r="AE123" s="3">
        <v>2718</v>
      </c>
      <c r="AF123" s="3">
        <v>2590</v>
      </c>
      <c r="AG123" s="3">
        <v>2092</v>
      </c>
      <c r="AH123" s="3">
        <v>3084</v>
      </c>
      <c r="AI123" s="3">
        <v>2448</v>
      </c>
      <c r="AJ123" s="3">
        <v>2670</v>
      </c>
      <c r="AK123" s="3">
        <v>2648</v>
      </c>
      <c r="AL123" s="3">
        <v>2547</v>
      </c>
      <c r="AM123" s="3">
        <v>2879</v>
      </c>
      <c r="AN123" s="3">
        <v>1767</v>
      </c>
      <c r="AO123" s="3">
        <v>1886</v>
      </c>
      <c r="AP123" s="3">
        <v>1886</v>
      </c>
      <c r="AQ123" s="3">
        <v>3656</v>
      </c>
      <c r="AR123" s="3">
        <v>3036</v>
      </c>
      <c r="AS123" s="3">
        <v>3349</v>
      </c>
      <c r="AT123" s="3">
        <v>3167</v>
      </c>
      <c r="AU123" s="3">
        <v>3075</v>
      </c>
      <c r="AV123" s="3">
        <v>2711</v>
      </c>
      <c r="AW123" s="3">
        <v>2916</v>
      </c>
      <c r="AX123" s="3">
        <v>3272</v>
      </c>
      <c r="AY123" s="3">
        <v>3069</v>
      </c>
      <c r="AZ123" s="3">
        <v>3024</v>
      </c>
      <c r="BA123" s="3">
        <v>2223</v>
      </c>
      <c r="BB123" s="3">
        <v>143060</v>
      </c>
    </row>
    <row r="124" customFormat="1" spans="1:54">
      <c r="A124" s="6" t="s">
        <v>30</v>
      </c>
      <c r="B124" s="3">
        <v>2789</v>
      </c>
      <c r="C124" s="3">
        <v>2835</v>
      </c>
      <c r="D124" s="3">
        <v>2734</v>
      </c>
      <c r="E124" s="3">
        <v>1950</v>
      </c>
      <c r="F124" s="3">
        <v>552</v>
      </c>
      <c r="G124" s="3">
        <v>357</v>
      </c>
      <c r="H124" s="3">
        <v>2138</v>
      </c>
      <c r="I124" s="3">
        <v>3146</v>
      </c>
      <c r="J124" s="3">
        <v>3031</v>
      </c>
      <c r="K124" s="3">
        <v>3087</v>
      </c>
      <c r="L124" s="3">
        <v>2892</v>
      </c>
      <c r="M124" s="3">
        <v>2641</v>
      </c>
      <c r="N124" s="3">
        <v>2572</v>
      </c>
      <c r="O124" s="3">
        <v>2965</v>
      </c>
      <c r="P124" s="3">
        <v>2508</v>
      </c>
      <c r="Q124" s="3">
        <v>2568</v>
      </c>
      <c r="R124" s="3">
        <v>3022</v>
      </c>
      <c r="S124" s="3">
        <v>2976</v>
      </c>
      <c r="T124" s="3">
        <v>2159</v>
      </c>
      <c r="U124" s="3">
        <v>2831</v>
      </c>
      <c r="V124" s="3">
        <v>3337</v>
      </c>
      <c r="W124" s="3">
        <v>3034</v>
      </c>
      <c r="X124" s="3">
        <v>3055</v>
      </c>
      <c r="Y124" s="3">
        <v>2968</v>
      </c>
      <c r="Z124" s="3">
        <v>2795</v>
      </c>
      <c r="AA124" s="3">
        <v>2987</v>
      </c>
      <c r="AB124" s="3">
        <v>3778</v>
      </c>
      <c r="AC124" s="3">
        <v>2791</v>
      </c>
      <c r="AD124" s="3">
        <v>2728</v>
      </c>
      <c r="AE124" s="3">
        <v>2379</v>
      </c>
      <c r="AF124" s="3">
        <v>2471</v>
      </c>
      <c r="AG124" s="3">
        <v>2859</v>
      </c>
      <c r="AH124" s="3">
        <v>3130</v>
      </c>
      <c r="AI124" s="3">
        <v>2638</v>
      </c>
      <c r="AJ124" s="3">
        <v>3203</v>
      </c>
      <c r="AK124" s="3">
        <v>3031</v>
      </c>
      <c r="AL124" s="3">
        <v>2535</v>
      </c>
      <c r="AM124" s="3">
        <v>2498</v>
      </c>
      <c r="AN124" s="3">
        <v>2411</v>
      </c>
      <c r="AO124" s="3">
        <v>1921</v>
      </c>
      <c r="AP124" s="3">
        <v>1921</v>
      </c>
      <c r="AQ124" s="3">
        <v>3778</v>
      </c>
      <c r="AR124" s="3">
        <v>2713</v>
      </c>
      <c r="AS124" s="3">
        <v>4277</v>
      </c>
      <c r="AT124" s="3">
        <v>2582</v>
      </c>
      <c r="AU124" s="3">
        <v>2573</v>
      </c>
      <c r="AV124" s="3">
        <v>3093</v>
      </c>
      <c r="AW124" s="3">
        <v>2824</v>
      </c>
      <c r="AX124" s="3">
        <v>3488</v>
      </c>
      <c r="AY124" s="3">
        <v>2778</v>
      </c>
      <c r="AZ124" s="3">
        <v>2394</v>
      </c>
      <c r="BA124" s="3">
        <v>2691</v>
      </c>
      <c r="BB124" s="3">
        <v>141414</v>
      </c>
    </row>
    <row r="125" customFormat="1" spans="1:54">
      <c r="A125" s="6" t="s">
        <v>351</v>
      </c>
      <c r="B125" s="3">
        <v>922</v>
      </c>
      <c r="C125" s="3">
        <v>1012</v>
      </c>
      <c r="D125" s="3">
        <v>897</v>
      </c>
      <c r="E125" s="3">
        <v>1319</v>
      </c>
      <c r="F125" s="3">
        <v>534</v>
      </c>
      <c r="G125" s="3">
        <v>153</v>
      </c>
      <c r="H125" s="3">
        <v>653</v>
      </c>
      <c r="I125" s="3">
        <v>906</v>
      </c>
      <c r="J125" s="3">
        <v>733</v>
      </c>
      <c r="K125" s="3">
        <v>1259</v>
      </c>
      <c r="L125" s="3">
        <v>1393</v>
      </c>
      <c r="M125" s="3">
        <v>1396</v>
      </c>
      <c r="N125" s="3">
        <v>1679</v>
      </c>
      <c r="O125" s="3">
        <v>1426</v>
      </c>
      <c r="P125" s="3">
        <v>1138</v>
      </c>
      <c r="Q125" s="3">
        <v>1897</v>
      </c>
      <c r="R125" s="3">
        <v>1485</v>
      </c>
      <c r="S125" s="3">
        <v>1319</v>
      </c>
      <c r="T125" s="3">
        <v>1205</v>
      </c>
      <c r="U125" s="3">
        <v>1235</v>
      </c>
      <c r="V125" s="3">
        <v>1263</v>
      </c>
      <c r="W125" s="3">
        <v>1247</v>
      </c>
      <c r="X125" s="3">
        <v>1198</v>
      </c>
      <c r="Y125" s="3">
        <v>1529</v>
      </c>
      <c r="Z125" s="3">
        <v>841</v>
      </c>
      <c r="AA125" s="3">
        <v>1475</v>
      </c>
      <c r="AB125" s="3">
        <v>1394</v>
      </c>
      <c r="AC125" s="3">
        <v>1461</v>
      </c>
      <c r="AD125" s="3">
        <v>1653</v>
      </c>
      <c r="AE125" s="3">
        <v>1363</v>
      </c>
      <c r="AF125" s="3">
        <v>1368</v>
      </c>
      <c r="AG125" s="3">
        <v>1180</v>
      </c>
      <c r="AH125" s="3">
        <v>1750</v>
      </c>
      <c r="AI125" s="3">
        <v>1522</v>
      </c>
      <c r="AJ125" s="3">
        <v>2036</v>
      </c>
      <c r="AK125" s="3">
        <v>2067</v>
      </c>
      <c r="AL125" s="3">
        <v>1996</v>
      </c>
      <c r="AM125" s="3">
        <v>1389</v>
      </c>
      <c r="AN125" s="3">
        <v>1644</v>
      </c>
      <c r="AO125" s="3">
        <v>1112</v>
      </c>
      <c r="AP125" s="3">
        <v>1112</v>
      </c>
      <c r="AQ125" s="3">
        <v>1998</v>
      </c>
      <c r="AR125" s="3">
        <v>1652</v>
      </c>
      <c r="AS125" s="3">
        <v>1682</v>
      </c>
      <c r="AT125" s="3">
        <v>1394</v>
      </c>
      <c r="AU125" s="3">
        <v>1808</v>
      </c>
      <c r="AV125" s="3">
        <v>1835</v>
      </c>
      <c r="AW125" s="3">
        <v>1570</v>
      </c>
      <c r="AX125" s="3">
        <v>1195</v>
      </c>
      <c r="AY125" s="3">
        <v>1629</v>
      </c>
      <c r="AZ125" s="3">
        <v>1894</v>
      </c>
      <c r="BA125" s="3">
        <v>1582</v>
      </c>
      <c r="BB125" s="3">
        <v>71400</v>
      </c>
    </row>
    <row r="126" customFormat="1" spans="1:54">
      <c r="A126" s="6" t="s">
        <v>352</v>
      </c>
      <c r="B126" s="3">
        <v>1371</v>
      </c>
      <c r="C126" s="3">
        <v>1894</v>
      </c>
      <c r="D126" s="3">
        <v>1785</v>
      </c>
      <c r="E126" s="3">
        <v>1465</v>
      </c>
      <c r="F126" s="3">
        <v>942</v>
      </c>
      <c r="G126" s="3">
        <v>368</v>
      </c>
      <c r="H126" s="3">
        <v>858</v>
      </c>
      <c r="I126" s="3">
        <v>1186</v>
      </c>
      <c r="J126" s="3">
        <v>1527</v>
      </c>
      <c r="K126" s="3">
        <v>1889</v>
      </c>
      <c r="L126" s="3">
        <v>1608</v>
      </c>
      <c r="M126" s="3">
        <v>1509</v>
      </c>
      <c r="N126" s="3">
        <v>1527</v>
      </c>
      <c r="O126" s="3">
        <v>1779</v>
      </c>
      <c r="P126" s="3">
        <v>1656</v>
      </c>
      <c r="Q126" s="3">
        <v>2247</v>
      </c>
      <c r="R126" s="3">
        <v>1638</v>
      </c>
      <c r="S126" s="3">
        <v>1812</v>
      </c>
      <c r="T126" s="3">
        <v>1923</v>
      </c>
      <c r="U126" s="3">
        <v>1896</v>
      </c>
      <c r="V126" s="3">
        <v>1795</v>
      </c>
      <c r="W126" s="3">
        <v>1922</v>
      </c>
      <c r="X126" s="3">
        <v>1412</v>
      </c>
      <c r="Y126" s="3">
        <v>2150</v>
      </c>
      <c r="Z126" s="3">
        <v>1940</v>
      </c>
      <c r="AA126" s="3">
        <v>2057</v>
      </c>
      <c r="AB126" s="3">
        <v>2068</v>
      </c>
      <c r="AC126" s="3">
        <v>2055</v>
      </c>
      <c r="AD126" s="3">
        <v>2043</v>
      </c>
      <c r="AE126" s="3">
        <v>1765</v>
      </c>
      <c r="AF126" s="3">
        <v>1750</v>
      </c>
      <c r="AG126" s="3">
        <v>1642</v>
      </c>
      <c r="AH126" s="3">
        <v>2051</v>
      </c>
      <c r="AI126" s="3">
        <v>2066</v>
      </c>
      <c r="AJ126" s="3">
        <v>2044</v>
      </c>
      <c r="AK126" s="3">
        <v>1596</v>
      </c>
      <c r="AL126" s="3">
        <v>1970</v>
      </c>
      <c r="AM126" s="3">
        <v>1946</v>
      </c>
      <c r="AN126" s="3">
        <v>1628</v>
      </c>
      <c r="AO126" s="3">
        <v>1843</v>
      </c>
      <c r="AP126" s="3">
        <v>1843</v>
      </c>
      <c r="AQ126" s="3">
        <v>2107</v>
      </c>
      <c r="AR126" s="3">
        <v>1917</v>
      </c>
      <c r="AS126" s="3">
        <v>1874</v>
      </c>
      <c r="AT126" s="3">
        <v>2054</v>
      </c>
      <c r="AU126" s="3">
        <v>1968</v>
      </c>
      <c r="AV126" s="3">
        <v>1991</v>
      </c>
      <c r="AW126" s="3">
        <v>1435</v>
      </c>
      <c r="AX126" s="3">
        <v>2026</v>
      </c>
      <c r="AY126" s="3">
        <v>1911</v>
      </c>
      <c r="AZ126" s="3">
        <v>2081</v>
      </c>
      <c r="BA126" s="3">
        <v>2381</v>
      </c>
      <c r="BB126" s="3">
        <v>92211</v>
      </c>
    </row>
    <row r="127" customFormat="1" spans="1:54">
      <c r="A127" s="6" t="s">
        <v>9</v>
      </c>
      <c r="B127" s="3">
        <v>347</v>
      </c>
      <c r="C127" s="3">
        <v>396</v>
      </c>
      <c r="D127" s="3">
        <v>442</v>
      </c>
      <c r="E127" s="3">
        <v>365</v>
      </c>
      <c r="F127" s="3">
        <v>80</v>
      </c>
      <c r="G127" s="3">
        <v>80</v>
      </c>
      <c r="H127" s="3">
        <v>295</v>
      </c>
      <c r="I127" s="3">
        <v>386</v>
      </c>
      <c r="J127" s="3">
        <v>421</v>
      </c>
      <c r="K127" s="3">
        <v>420</v>
      </c>
      <c r="L127" s="3">
        <v>506</v>
      </c>
      <c r="M127" s="3">
        <v>340</v>
      </c>
      <c r="N127" s="3">
        <v>549</v>
      </c>
      <c r="O127" s="3">
        <v>464</v>
      </c>
      <c r="P127" s="3">
        <v>386</v>
      </c>
      <c r="Q127" s="3">
        <v>345</v>
      </c>
      <c r="R127" s="3">
        <v>469</v>
      </c>
      <c r="S127" s="3">
        <v>544</v>
      </c>
      <c r="T127" s="3">
        <v>225</v>
      </c>
      <c r="U127" s="3">
        <v>387</v>
      </c>
      <c r="V127" s="3">
        <v>901</v>
      </c>
      <c r="W127" s="3">
        <v>244</v>
      </c>
      <c r="X127" s="3">
        <v>546</v>
      </c>
      <c r="Y127" s="3">
        <v>459</v>
      </c>
      <c r="Z127" s="3">
        <v>659</v>
      </c>
      <c r="AA127" s="3">
        <v>931</v>
      </c>
      <c r="AB127" s="3">
        <v>567</v>
      </c>
      <c r="AC127" s="3">
        <v>783</v>
      </c>
      <c r="AD127" s="3">
        <v>590</v>
      </c>
      <c r="AE127" s="3">
        <v>705</v>
      </c>
      <c r="AF127" s="3">
        <v>526</v>
      </c>
      <c r="AG127" s="3">
        <v>443</v>
      </c>
      <c r="AH127" s="3">
        <v>412</v>
      </c>
      <c r="AI127" s="3">
        <v>429</v>
      </c>
      <c r="AJ127" s="3">
        <v>722</v>
      </c>
      <c r="AK127" s="3">
        <v>793</v>
      </c>
      <c r="AL127" s="3">
        <v>347</v>
      </c>
      <c r="AM127" s="3">
        <v>513</v>
      </c>
      <c r="AN127" s="3">
        <v>360</v>
      </c>
      <c r="AO127" s="3">
        <v>377</v>
      </c>
      <c r="AP127" s="3">
        <v>377</v>
      </c>
      <c r="AQ127" s="3">
        <v>394</v>
      </c>
      <c r="AR127" s="3">
        <v>820</v>
      </c>
      <c r="AS127" s="3">
        <v>507</v>
      </c>
      <c r="AT127" s="3">
        <v>775</v>
      </c>
      <c r="AU127" s="3">
        <v>416</v>
      </c>
      <c r="AV127" s="3">
        <v>657</v>
      </c>
      <c r="AW127" s="3">
        <v>671</v>
      </c>
      <c r="AX127" s="3">
        <v>660</v>
      </c>
      <c r="AY127" s="3">
        <v>669</v>
      </c>
      <c r="AZ127" s="3">
        <v>585</v>
      </c>
      <c r="BA127" s="3">
        <v>569</v>
      </c>
      <c r="BB127" s="3">
        <v>25854</v>
      </c>
    </row>
    <row r="128" customFormat="1" spans="1:54">
      <c r="A128" s="6" t="s">
        <v>205</v>
      </c>
      <c r="B128" s="3">
        <v>8926</v>
      </c>
      <c r="C128" s="3">
        <v>10459</v>
      </c>
      <c r="D128" s="3">
        <v>10146</v>
      </c>
      <c r="E128" s="3">
        <v>9196</v>
      </c>
      <c r="F128" s="3">
        <v>3153</v>
      </c>
      <c r="G128" s="3">
        <v>1183</v>
      </c>
      <c r="H128" s="3">
        <v>7034</v>
      </c>
      <c r="I128" s="3">
        <v>9789</v>
      </c>
      <c r="J128" s="3">
        <v>9631</v>
      </c>
      <c r="K128" s="3">
        <v>10355</v>
      </c>
      <c r="L128" s="3">
        <v>10610</v>
      </c>
      <c r="M128" s="3">
        <v>9974</v>
      </c>
      <c r="N128" s="3">
        <v>10801</v>
      </c>
      <c r="O128" s="3">
        <v>11314</v>
      </c>
      <c r="P128" s="3">
        <v>8979</v>
      </c>
      <c r="Q128" s="3">
        <v>11209</v>
      </c>
      <c r="R128" s="3">
        <v>10362</v>
      </c>
      <c r="S128" s="3">
        <v>11351</v>
      </c>
      <c r="T128" s="3">
        <v>8106</v>
      </c>
      <c r="U128" s="3">
        <v>10821</v>
      </c>
      <c r="V128" s="3">
        <v>11290</v>
      </c>
      <c r="W128" s="3">
        <v>10387</v>
      </c>
      <c r="X128" s="3">
        <v>9675</v>
      </c>
      <c r="Y128" s="3">
        <v>11058</v>
      </c>
      <c r="Z128" s="3">
        <v>9708</v>
      </c>
      <c r="AA128" s="3">
        <v>11365</v>
      </c>
      <c r="AB128" s="3">
        <v>11891</v>
      </c>
      <c r="AC128" s="3">
        <v>10961</v>
      </c>
      <c r="AD128" s="3">
        <v>10735</v>
      </c>
      <c r="AE128" s="3">
        <v>9840</v>
      </c>
      <c r="AF128" s="3">
        <v>9661</v>
      </c>
      <c r="AG128" s="3">
        <v>8968</v>
      </c>
      <c r="AH128" s="3">
        <v>11360</v>
      </c>
      <c r="AI128" s="3">
        <v>9951</v>
      </c>
      <c r="AJ128" s="3">
        <v>11958</v>
      </c>
      <c r="AK128" s="3">
        <v>11030</v>
      </c>
      <c r="AL128" s="3">
        <v>10055</v>
      </c>
      <c r="AM128" s="3">
        <v>10169</v>
      </c>
      <c r="AN128" s="3">
        <v>8323</v>
      </c>
      <c r="AO128" s="3">
        <v>7871</v>
      </c>
      <c r="AP128" s="3">
        <v>7871</v>
      </c>
      <c r="AQ128" s="3">
        <v>12976</v>
      </c>
      <c r="AR128" s="3">
        <v>11234</v>
      </c>
      <c r="AS128" s="3">
        <v>12766</v>
      </c>
      <c r="AT128" s="3">
        <v>11000</v>
      </c>
      <c r="AU128" s="3">
        <v>10959</v>
      </c>
      <c r="AV128" s="3">
        <v>11078</v>
      </c>
      <c r="AW128" s="3">
        <v>10567</v>
      </c>
      <c r="AX128" s="3">
        <v>11750</v>
      </c>
      <c r="AY128" s="3">
        <v>10968</v>
      </c>
      <c r="AZ128" s="3">
        <v>10853</v>
      </c>
      <c r="BA128" s="3">
        <v>10319</v>
      </c>
      <c r="BB128" s="3">
        <v>521996</v>
      </c>
    </row>
    <row r="129" customFormat="1" spans="1:54">
      <c r="A129" s="152" t="s">
        <v>353</v>
      </c>
      <c r="B129" s="153">
        <v>14499</v>
      </c>
      <c r="C129" s="153">
        <v>18379</v>
      </c>
      <c r="D129" s="153">
        <v>17006</v>
      </c>
      <c r="E129" s="153">
        <v>15323</v>
      </c>
      <c r="F129" s="153">
        <v>5766</v>
      </c>
      <c r="G129" s="153">
        <v>2111</v>
      </c>
      <c r="H129" s="153">
        <v>12096</v>
      </c>
      <c r="I129" s="153">
        <v>16034</v>
      </c>
      <c r="J129" s="153">
        <v>16294</v>
      </c>
      <c r="K129" s="153">
        <v>15962</v>
      </c>
      <c r="L129" s="153">
        <v>17310</v>
      </c>
      <c r="M129" s="153">
        <v>18023</v>
      </c>
      <c r="N129" s="153">
        <v>17387</v>
      </c>
      <c r="O129" s="153">
        <v>17438</v>
      </c>
      <c r="P129" s="153">
        <v>15147</v>
      </c>
      <c r="Q129" s="153">
        <v>18408</v>
      </c>
      <c r="R129" s="153">
        <v>17759</v>
      </c>
      <c r="S129" s="153">
        <v>18153</v>
      </c>
      <c r="T129" s="153">
        <v>12549</v>
      </c>
      <c r="U129" s="153">
        <v>17665</v>
      </c>
      <c r="V129" s="153">
        <v>17522</v>
      </c>
      <c r="W129" s="153">
        <v>17225</v>
      </c>
      <c r="X129" s="153">
        <v>15285</v>
      </c>
      <c r="Y129" s="153">
        <v>18292</v>
      </c>
      <c r="Z129" s="153">
        <v>16050</v>
      </c>
      <c r="AA129" s="153">
        <v>18658</v>
      </c>
      <c r="AB129" s="153">
        <v>20333</v>
      </c>
      <c r="AC129" s="153">
        <v>18487</v>
      </c>
      <c r="AD129" s="153">
        <v>18564</v>
      </c>
      <c r="AE129" s="153">
        <v>17392</v>
      </c>
      <c r="AF129" s="153">
        <v>17253</v>
      </c>
      <c r="AG129" s="153">
        <v>15421</v>
      </c>
      <c r="AH129" s="153">
        <v>19324</v>
      </c>
      <c r="AI129" s="153">
        <v>19075</v>
      </c>
      <c r="AJ129" s="153">
        <v>20284</v>
      </c>
      <c r="AK129" s="153">
        <v>19209</v>
      </c>
      <c r="AL129" s="153">
        <v>18044</v>
      </c>
      <c r="AM129" s="153">
        <v>18071</v>
      </c>
      <c r="AN129" s="153">
        <v>15266</v>
      </c>
      <c r="AO129" s="153">
        <v>16599</v>
      </c>
      <c r="AP129" s="153">
        <v>5997</v>
      </c>
      <c r="AQ129" s="153">
        <v>24165</v>
      </c>
      <c r="AR129" s="153">
        <v>18685</v>
      </c>
      <c r="AS129" s="153">
        <v>23246</v>
      </c>
      <c r="AT129" s="153">
        <v>20080</v>
      </c>
      <c r="AU129" s="153">
        <v>20650</v>
      </c>
      <c r="AV129" s="153">
        <v>20803</v>
      </c>
      <c r="AW129" s="153">
        <v>20261</v>
      </c>
      <c r="AX129" s="153">
        <v>21291</v>
      </c>
      <c r="AY129" s="153">
        <v>20817</v>
      </c>
      <c r="AZ129" s="153">
        <v>19312</v>
      </c>
      <c r="BA129" s="153">
        <v>18102</v>
      </c>
      <c r="BB129" s="154">
        <v>893072</v>
      </c>
    </row>
    <row r="130" customFormat="1" spans="1:54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customFormat="1" spans="1:54">
      <c r="A131" s="12" t="s">
        <v>265</v>
      </c>
      <c r="B131" s="3" t="s">
        <v>266</v>
      </c>
      <c r="C131" s="3" t="s">
        <v>267</v>
      </c>
      <c r="D131" s="3" t="s">
        <v>268</v>
      </c>
      <c r="E131" s="3" t="s">
        <v>269</v>
      </c>
      <c r="F131" s="3" t="s">
        <v>270</v>
      </c>
      <c r="G131" s="3" t="s">
        <v>271</v>
      </c>
      <c r="H131" s="3" t="s">
        <v>272</v>
      </c>
      <c r="I131" s="3" t="s">
        <v>273</v>
      </c>
      <c r="J131" s="3" t="s">
        <v>274</v>
      </c>
      <c r="K131" s="3" t="s">
        <v>275</v>
      </c>
      <c r="L131" s="3" t="s">
        <v>276</v>
      </c>
      <c r="M131" s="3" t="s">
        <v>277</v>
      </c>
      <c r="N131" s="3" t="s">
        <v>278</v>
      </c>
      <c r="O131" s="3" t="s">
        <v>279</v>
      </c>
      <c r="P131" s="3" t="s">
        <v>280</v>
      </c>
      <c r="Q131" s="3" t="s">
        <v>281</v>
      </c>
      <c r="R131" s="3" t="s">
        <v>282</v>
      </c>
      <c r="S131" s="3" t="s">
        <v>283</v>
      </c>
      <c r="T131" s="3" t="s">
        <v>284</v>
      </c>
      <c r="U131" s="3" t="s">
        <v>285</v>
      </c>
      <c r="V131" s="3" t="s">
        <v>286</v>
      </c>
      <c r="W131" s="3" t="s">
        <v>287</v>
      </c>
      <c r="X131" s="3" t="s">
        <v>288</v>
      </c>
      <c r="Y131" s="3" t="s">
        <v>289</v>
      </c>
      <c r="Z131" s="3" t="s">
        <v>290</v>
      </c>
      <c r="AA131" s="3" t="s">
        <v>291</v>
      </c>
      <c r="AB131" s="3" t="s">
        <v>292</v>
      </c>
      <c r="AC131" s="3" t="s">
        <v>293</v>
      </c>
      <c r="AD131" s="3" t="s">
        <v>294</v>
      </c>
      <c r="AE131" s="3" t="s">
        <v>295</v>
      </c>
      <c r="AF131" s="3" t="s">
        <v>296</v>
      </c>
      <c r="AG131" s="3" t="s">
        <v>297</v>
      </c>
      <c r="AH131" s="3" t="s">
        <v>298</v>
      </c>
      <c r="AI131" s="3" t="s">
        <v>299</v>
      </c>
      <c r="AJ131" s="3" t="s">
        <v>300</v>
      </c>
      <c r="AK131" s="3" t="s">
        <v>301</v>
      </c>
      <c r="AL131" s="3" t="s">
        <v>302</v>
      </c>
      <c r="AM131" s="3" t="s">
        <v>303</v>
      </c>
      <c r="AN131" s="3" t="s">
        <v>304</v>
      </c>
      <c r="AO131" s="3" t="s">
        <v>305</v>
      </c>
      <c r="AP131" s="3" t="s">
        <v>306</v>
      </c>
      <c r="AQ131" s="3" t="s">
        <v>307</v>
      </c>
      <c r="AR131" s="3" t="s">
        <v>308</v>
      </c>
      <c r="AS131" s="3" t="s">
        <v>309</v>
      </c>
      <c r="AT131" s="3" t="s">
        <v>310</v>
      </c>
      <c r="AU131" s="3" t="s">
        <v>311</v>
      </c>
      <c r="AV131" s="3" t="s">
        <v>312</v>
      </c>
      <c r="AW131" s="3" t="s">
        <v>313</v>
      </c>
      <c r="AX131" s="3" t="s">
        <v>314</v>
      </c>
      <c r="AY131" s="3" t="s">
        <v>315</v>
      </c>
      <c r="AZ131" s="3" t="s">
        <v>316</v>
      </c>
      <c r="BA131" s="3" t="s">
        <v>317</v>
      </c>
      <c r="BB131" s="3" t="s">
        <v>184</v>
      </c>
    </row>
    <row r="132" customFormat="1" spans="1:54">
      <c r="A132" s="6" t="s">
        <v>12</v>
      </c>
      <c r="B132" s="44">
        <v>340709.9</v>
      </c>
      <c r="C132" s="44">
        <v>481723.07</v>
      </c>
      <c r="D132" s="44">
        <v>483504.59</v>
      </c>
      <c r="E132" s="44">
        <v>401035.25</v>
      </c>
      <c r="F132" s="44">
        <v>134349.35</v>
      </c>
      <c r="G132" s="44">
        <v>70140.25</v>
      </c>
      <c r="H132" s="44">
        <v>265862.43</v>
      </c>
      <c r="I132" s="44">
        <v>426240.77</v>
      </c>
      <c r="J132" s="44">
        <v>393049.37</v>
      </c>
      <c r="K132" s="44">
        <v>426669.99</v>
      </c>
      <c r="L132" s="44">
        <v>431979.51</v>
      </c>
      <c r="M132" s="44">
        <v>452885.36</v>
      </c>
      <c r="N132" s="44">
        <v>456493.04</v>
      </c>
      <c r="O132" s="44">
        <v>547763.95</v>
      </c>
      <c r="P132" s="44">
        <v>413556.06</v>
      </c>
      <c r="Q132" s="44">
        <v>503517.44</v>
      </c>
      <c r="R132" s="44">
        <v>369791.2</v>
      </c>
      <c r="S132" s="44">
        <v>581346.53</v>
      </c>
      <c r="T132" s="44">
        <v>328729.75</v>
      </c>
      <c r="U132" s="44">
        <v>552310.29</v>
      </c>
      <c r="V132" s="44">
        <v>565277.14</v>
      </c>
      <c r="W132" s="44">
        <v>564276.23</v>
      </c>
      <c r="X132" s="44">
        <v>378417.37</v>
      </c>
      <c r="Y132" s="44">
        <v>519844.76</v>
      </c>
      <c r="Z132" s="44">
        <v>434563.04</v>
      </c>
      <c r="AA132" s="44">
        <v>522672</v>
      </c>
      <c r="AB132" s="44">
        <v>437331.9</v>
      </c>
      <c r="AC132" s="44">
        <v>477794.86</v>
      </c>
      <c r="AD132" s="44">
        <v>435944.1</v>
      </c>
      <c r="AE132" s="44">
        <v>419129.32</v>
      </c>
      <c r="AF132" s="44">
        <v>488603.58</v>
      </c>
      <c r="AG132" s="44">
        <v>384651.04</v>
      </c>
      <c r="AH132" s="44">
        <v>424505.2</v>
      </c>
      <c r="AI132" s="44">
        <v>426326.29</v>
      </c>
      <c r="AJ132" s="44">
        <v>576395.53</v>
      </c>
      <c r="AK132" s="44">
        <v>955025.76</v>
      </c>
      <c r="AL132" s="44">
        <v>486198.88</v>
      </c>
      <c r="AM132" s="44">
        <v>491580.5</v>
      </c>
      <c r="AN132" s="44">
        <v>479421.25</v>
      </c>
      <c r="AO132" s="44">
        <v>418371.72</v>
      </c>
      <c r="AP132" s="44">
        <v>144047.83</v>
      </c>
      <c r="AQ132" s="44">
        <v>579198.86</v>
      </c>
      <c r="AR132" s="44">
        <v>768392.53</v>
      </c>
      <c r="AS132" s="44">
        <v>1079046.25</v>
      </c>
      <c r="AT132" s="44">
        <v>1383786.1</v>
      </c>
      <c r="AU132" s="44">
        <v>662646.49</v>
      </c>
      <c r="AV132" s="44">
        <v>458841.89</v>
      </c>
      <c r="AW132" s="44">
        <v>1072840.53</v>
      </c>
      <c r="AX132" s="44">
        <v>1003591.32</v>
      </c>
      <c r="AY132" s="44">
        <v>807662.86</v>
      </c>
      <c r="AZ132" s="44">
        <v>677587.43</v>
      </c>
      <c r="BA132" s="44">
        <v>1085379.55</v>
      </c>
      <c r="BB132" s="44">
        <v>27671010.21</v>
      </c>
    </row>
    <row r="133" customFormat="1" spans="1:54">
      <c r="A133" s="6" t="s">
        <v>19</v>
      </c>
      <c r="B133" s="44">
        <v>694973.19</v>
      </c>
      <c r="C133" s="44">
        <v>784258.41</v>
      </c>
      <c r="D133" s="44">
        <v>890215.45</v>
      </c>
      <c r="E133" s="44">
        <v>773069.56</v>
      </c>
      <c r="F133" s="44">
        <v>208981.88</v>
      </c>
      <c r="G133" s="44">
        <v>54032.88</v>
      </c>
      <c r="H133" s="44">
        <v>637571.57</v>
      </c>
      <c r="I133" s="44">
        <v>834191.43</v>
      </c>
      <c r="J133" s="44">
        <v>755669.44</v>
      </c>
      <c r="K133" s="44">
        <v>686129.96</v>
      </c>
      <c r="L133" s="44">
        <v>844746.44</v>
      </c>
      <c r="M133" s="44">
        <v>724880.82</v>
      </c>
      <c r="N133" s="44">
        <v>855447.93</v>
      </c>
      <c r="O133" s="44">
        <v>820613.56</v>
      </c>
      <c r="P133" s="44">
        <v>577546.21</v>
      </c>
      <c r="Q133" s="44">
        <v>743867.28</v>
      </c>
      <c r="R133" s="44">
        <v>713948.69</v>
      </c>
      <c r="S133" s="44">
        <v>861809.26</v>
      </c>
      <c r="T133" s="44">
        <v>396931.06</v>
      </c>
      <c r="U133" s="44">
        <v>759786.61</v>
      </c>
      <c r="V133" s="44">
        <v>678313.09</v>
      </c>
      <c r="W133" s="44">
        <v>682911.51</v>
      </c>
      <c r="X133" s="44">
        <v>641515.13</v>
      </c>
      <c r="Y133" s="44">
        <v>629314.31</v>
      </c>
      <c r="Z133" s="44">
        <v>619124.7</v>
      </c>
      <c r="AA133" s="44">
        <v>687743</v>
      </c>
      <c r="AB133" s="44">
        <v>763859.19</v>
      </c>
      <c r="AC133" s="44">
        <v>692995.49</v>
      </c>
      <c r="AD133" s="44">
        <v>667316.64</v>
      </c>
      <c r="AE133" s="44">
        <v>663642.76</v>
      </c>
      <c r="AF133" s="44">
        <v>597784.46</v>
      </c>
      <c r="AG133" s="44">
        <v>450663.31</v>
      </c>
      <c r="AH133" s="44">
        <v>703762.25</v>
      </c>
      <c r="AI133" s="44">
        <v>578889.21</v>
      </c>
      <c r="AJ133" s="44">
        <v>611631.85</v>
      </c>
      <c r="AK133" s="44">
        <v>660812.08</v>
      </c>
      <c r="AL133" s="44">
        <v>599134.09</v>
      </c>
      <c r="AM133" s="44">
        <v>691016.25</v>
      </c>
      <c r="AN133" s="44">
        <v>392359.08</v>
      </c>
      <c r="AO133" s="44">
        <v>496195.97</v>
      </c>
      <c r="AP133" s="44">
        <v>159265.5</v>
      </c>
      <c r="AQ133" s="44">
        <v>822000.16</v>
      </c>
      <c r="AR133" s="44">
        <v>748332.48</v>
      </c>
      <c r="AS133" s="44">
        <v>793193.03</v>
      </c>
      <c r="AT133" s="44">
        <v>814081.16</v>
      </c>
      <c r="AU133" s="44">
        <v>746457.4</v>
      </c>
      <c r="AV133" s="44">
        <v>674899.67</v>
      </c>
      <c r="AW133" s="44">
        <v>690864.95</v>
      </c>
      <c r="AX133" s="44">
        <v>735538.15</v>
      </c>
      <c r="AY133" s="44">
        <v>724254.41</v>
      </c>
      <c r="AZ133" s="44">
        <v>739919.27</v>
      </c>
      <c r="BA133" s="44">
        <v>584582.48</v>
      </c>
      <c r="BB133" s="44">
        <v>34361044.65</v>
      </c>
    </row>
    <row r="134" customFormat="1" spans="1:54">
      <c r="A134" s="6" t="s">
        <v>30</v>
      </c>
      <c r="B134" s="44">
        <v>884795.68</v>
      </c>
      <c r="C134" s="44">
        <v>831520.29</v>
      </c>
      <c r="D134" s="44">
        <v>845352.38</v>
      </c>
      <c r="E134" s="44">
        <v>546465.09</v>
      </c>
      <c r="F134" s="44">
        <v>150020.3</v>
      </c>
      <c r="G134" s="44">
        <v>134361.81</v>
      </c>
      <c r="H134" s="44">
        <v>619001.48</v>
      </c>
      <c r="I134" s="44">
        <v>807358.44</v>
      </c>
      <c r="J134" s="44">
        <v>824783.57</v>
      </c>
      <c r="K134" s="44">
        <v>942955.78</v>
      </c>
      <c r="L134" s="44">
        <v>866187.12</v>
      </c>
      <c r="M134" s="44">
        <v>740795.99</v>
      </c>
      <c r="N134" s="44">
        <v>734880.52</v>
      </c>
      <c r="O134" s="44">
        <v>906898.23</v>
      </c>
      <c r="P134" s="44">
        <v>678226.65</v>
      </c>
      <c r="Q134" s="44">
        <v>710083.02</v>
      </c>
      <c r="R134" s="44">
        <v>781007.18</v>
      </c>
      <c r="S134" s="44">
        <v>898458.44</v>
      </c>
      <c r="T134" s="44">
        <v>565963.47</v>
      </c>
      <c r="U134" s="44">
        <v>789043.01</v>
      </c>
      <c r="V134" s="44">
        <v>872582.58</v>
      </c>
      <c r="W134" s="44">
        <v>831370.81</v>
      </c>
      <c r="X134" s="44">
        <v>853081.46</v>
      </c>
      <c r="Y134" s="44">
        <v>859817.82</v>
      </c>
      <c r="Z134" s="44">
        <v>756314.63</v>
      </c>
      <c r="AA134" s="44">
        <v>821467</v>
      </c>
      <c r="AB134" s="44">
        <v>1023217.13</v>
      </c>
      <c r="AC134" s="44">
        <v>738350.86</v>
      </c>
      <c r="AD134" s="44">
        <v>774133.45</v>
      </c>
      <c r="AE134" s="44">
        <v>634019.2</v>
      </c>
      <c r="AF134" s="44">
        <v>673128.02</v>
      </c>
      <c r="AG134" s="44">
        <v>757809.41</v>
      </c>
      <c r="AH134" s="44">
        <v>816958.95</v>
      </c>
      <c r="AI134" s="44">
        <v>728658.65</v>
      </c>
      <c r="AJ134" s="44">
        <v>853782.13</v>
      </c>
      <c r="AK134" s="44">
        <v>894588.41</v>
      </c>
      <c r="AL134" s="44">
        <v>751049.07</v>
      </c>
      <c r="AM134" s="44">
        <v>733574.03</v>
      </c>
      <c r="AN134" s="44">
        <v>712572.78</v>
      </c>
      <c r="AO134" s="44">
        <v>581905.82</v>
      </c>
      <c r="AP134" s="44">
        <v>420684.37</v>
      </c>
      <c r="AQ134" s="44">
        <v>1168629.42</v>
      </c>
      <c r="AR134" s="44">
        <v>791068.02</v>
      </c>
      <c r="AS134" s="44">
        <v>1285981.4</v>
      </c>
      <c r="AT134" s="44">
        <v>845554.36</v>
      </c>
      <c r="AU134" s="44">
        <v>819021.03</v>
      </c>
      <c r="AV134" s="44">
        <v>1016913.39</v>
      </c>
      <c r="AW134" s="44">
        <v>869964.2</v>
      </c>
      <c r="AX134" s="44">
        <v>1041593.06</v>
      </c>
      <c r="AY134" s="44">
        <v>882378.84</v>
      </c>
      <c r="AZ134" s="44">
        <v>753913.85</v>
      </c>
      <c r="BA134" s="44">
        <v>846691.05</v>
      </c>
      <c r="BB134" s="44">
        <v>40668933.66</v>
      </c>
    </row>
    <row r="135" customFormat="1" spans="1:54">
      <c r="A135" s="6" t="s">
        <v>351</v>
      </c>
      <c r="B135" s="44">
        <v>286447.52</v>
      </c>
      <c r="C135" s="44">
        <v>384217.53</v>
      </c>
      <c r="D135" s="44">
        <v>328679.58</v>
      </c>
      <c r="E135" s="44">
        <v>455393.76</v>
      </c>
      <c r="F135" s="44">
        <v>227545.4</v>
      </c>
      <c r="G135" s="44">
        <v>66384.92</v>
      </c>
      <c r="H135" s="44">
        <v>220069.94</v>
      </c>
      <c r="I135" s="44">
        <v>334566.4</v>
      </c>
      <c r="J135" s="44">
        <v>308048.19</v>
      </c>
      <c r="K135" s="44">
        <v>422208.58</v>
      </c>
      <c r="L135" s="44">
        <v>545621.64</v>
      </c>
      <c r="M135" s="44">
        <v>504958.76</v>
      </c>
      <c r="N135" s="44">
        <v>584452.93</v>
      </c>
      <c r="O135" s="44">
        <v>547365.2</v>
      </c>
      <c r="P135" s="44">
        <v>341197.38</v>
      </c>
      <c r="Q135" s="44">
        <v>699916.44</v>
      </c>
      <c r="R135" s="44">
        <v>498948.75</v>
      </c>
      <c r="S135" s="44">
        <v>454935.61</v>
      </c>
      <c r="T135" s="44">
        <v>347968.51</v>
      </c>
      <c r="U135" s="44">
        <v>476925.34</v>
      </c>
      <c r="V135" s="44">
        <v>426114.14</v>
      </c>
      <c r="W135" s="44">
        <v>432207.93</v>
      </c>
      <c r="X135" s="44">
        <v>393455.88</v>
      </c>
      <c r="Y135" s="44">
        <v>505777.25</v>
      </c>
      <c r="Z135" s="44">
        <v>312159</v>
      </c>
      <c r="AA135" s="44">
        <v>510837</v>
      </c>
      <c r="AB135" s="44">
        <v>503946.94</v>
      </c>
      <c r="AC135" s="44">
        <v>476626.66</v>
      </c>
      <c r="AD135" s="44">
        <v>536283.83</v>
      </c>
      <c r="AE135" s="44">
        <v>403195.38</v>
      </c>
      <c r="AF135" s="44">
        <v>442184.28</v>
      </c>
      <c r="AG135" s="44">
        <v>365166.2</v>
      </c>
      <c r="AH135" s="44">
        <v>536138.14</v>
      </c>
      <c r="AI135" s="44">
        <v>548490.81</v>
      </c>
      <c r="AJ135" s="44">
        <v>721934.93</v>
      </c>
      <c r="AK135" s="44">
        <v>645624.18</v>
      </c>
      <c r="AL135" s="44">
        <v>630862.47</v>
      </c>
      <c r="AM135" s="44">
        <v>445891</v>
      </c>
      <c r="AN135" s="44">
        <v>470812.7</v>
      </c>
      <c r="AO135" s="44">
        <v>348541.23</v>
      </c>
      <c r="AP135" s="44">
        <v>124124.09</v>
      </c>
      <c r="AQ135" s="44">
        <v>669213.4</v>
      </c>
      <c r="AR135" s="44">
        <v>468744.09</v>
      </c>
      <c r="AS135" s="44">
        <v>562393.28</v>
      </c>
      <c r="AT135" s="44">
        <v>426572.15</v>
      </c>
      <c r="AU135" s="44">
        <v>468759.13</v>
      </c>
      <c r="AV135" s="44">
        <v>583821.19</v>
      </c>
      <c r="AW135" s="44">
        <v>575263.17</v>
      </c>
      <c r="AX135" s="44">
        <v>393337.93</v>
      </c>
      <c r="AY135" s="44">
        <v>390039.8</v>
      </c>
      <c r="AZ135" s="44">
        <v>509433.55</v>
      </c>
      <c r="BA135" s="44">
        <v>517865.93</v>
      </c>
      <c r="BB135" s="44">
        <v>23381670.04</v>
      </c>
    </row>
    <row r="136" customFormat="1" spans="1:54">
      <c r="A136" s="6" t="s">
        <v>352</v>
      </c>
      <c r="B136" s="44">
        <v>608961.87</v>
      </c>
      <c r="C136" s="44">
        <v>745723.46</v>
      </c>
      <c r="D136" s="44">
        <v>736237.22</v>
      </c>
      <c r="E136" s="44">
        <v>583930.06</v>
      </c>
      <c r="F136" s="44">
        <v>345895.49</v>
      </c>
      <c r="G136" s="44">
        <v>158808.32</v>
      </c>
      <c r="H136" s="44">
        <v>404128.77</v>
      </c>
      <c r="I136" s="44">
        <v>543089.22</v>
      </c>
      <c r="J136" s="44">
        <v>599498.78</v>
      </c>
      <c r="K136" s="44">
        <v>734124.84</v>
      </c>
      <c r="L136" s="44">
        <v>675821.68</v>
      </c>
      <c r="M136" s="44">
        <v>641728.73</v>
      </c>
      <c r="N136" s="44">
        <v>641849.11</v>
      </c>
      <c r="O136" s="44">
        <v>695112.41</v>
      </c>
      <c r="P136" s="44">
        <v>617557.32</v>
      </c>
      <c r="Q136" s="44">
        <v>733865.1</v>
      </c>
      <c r="R136" s="44">
        <v>637108.74</v>
      </c>
      <c r="S136" s="44">
        <v>695837.73</v>
      </c>
      <c r="T136" s="44">
        <v>676411.95</v>
      </c>
      <c r="U136" s="44">
        <v>663382.5</v>
      </c>
      <c r="V136" s="44">
        <v>670321.32</v>
      </c>
      <c r="W136" s="44">
        <v>676438.84</v>
      </c>
      <c r="X136" s="44">
        <v>562857.55</v>
      </c>
      <c r="Y136" s="44">
        <v>766676.83</v>
      </c>
      <c r="Z136" s="44">
        <v>645787.21</v>
      </c>
      <c r="AA136" s="44">
        <v>708672</v>
      </c>
      <c r="AB136" s="44">
        <v>704439.78</v>
      </c>
      <c r="AC136" s="44">
        <v>731183.57</v>
      </c>
      <c r="AD136" s="44">
        <v>726737.75</v>
      </c>
      <c r="AE136" s="44">
        <v>658518.3</v>
      </c>
      <c r="AF136" s="44">
        <v>658267.37</v>
      </c>
      <c r="AG136" s="44">
        <v>573151.11</v>
      </c>
      <c r="AH136" s="44">
        <v>740045.83</v>
      </c>
      <c r="AI136" s="44">
        <v>743447.42</v>
      </c>
      <c r="AJ136" s="44">
        <v>832236.04</v>
      </c>
      <c r="AK136" s="44">
        <v>605947.63</v>
      </c>
      <c r="AL136" s="44">
        <v>681666.47</v>
      </c>
      <c r="AM136" s="44">
        <v>694059.97</v>
      </c>
      <c r="AN136" s="44">
        <v>610860.36</v>
      </c>
      <c r="AO136" s="44">
        <v>653240.97</v>
      </c>
      <c r="AP136" s="44">
        <v>240990.34</v>
      </c>
      <c r="AQ136" s="44">
        <v>775998.8</v>
      </c>
      <c r="AR136" s="44">
        <v>742312.8</v>
      </c>
      <c r="AS136" s="44">
        <v>686227.44</v>
      </c>
      <c r="AT136" s="44">
        <v>763835.96</v>
      </c>
      <c r="AU136" s="44">
        <v>668556.66</v>
      </c>
      <c r="AV136" s="44">
        <v>645911.99</v>
      </c>
      <c r="AW136" s="44">
        <v>559404.2</v>
      </c>
      <c r="AX136" s="44">
        <v>707826.51</v>
      </c>
      <c r="AY136" s="44">
        <v>682398.05</v>
      </c>
      <c r="AZ136" s="44">
        <v>752852.26</v>
      </c>
      <c r="BA136" s="44">
        <v>844409.23</v>
      </c>
      <c r="BB136" s="44">
        <v>33854353.86</v>
      </c>
    </row>
    <row r="137" customFormat="1" spans="1:54">
      <c r="A137" s="6" t="s">
        <v>9</v>
      </c>
      <c r="B137" s="44">
        <v>255223.54</v>
      </c>
      <c r="C137" s="44">
        <v>234750.62</v>
      </c>
      <c r="D137" s="44">
        <v>302763.62</v>
      </c>
      <c r="E137" s="44">
        <v>393227.58</v>
      </c>
      <c r="F137" s="44">
        <v>37585.71</v>
      </c>
      <c r="G137" s="44">
        <v>32910.14</v>
      </c>
      <c r="H137" s="44">
        <v>369641.55</v>
      </c>
      <c r="I137" s="44">
        <v>261815.89</v>
      </c>
      <c r="J137" s="44">
        <v>252634.66</v>
      </c>
      <c r="K137" s="44">
        <v>265985.6</v>
      </c>
      <c r="L137" s="44">
        <v>284579.83</v>
      </c>
      <c r="M137" s="44">
        <v>223525.93</v>
      </c>
      <c r="N137" s="44">
        <v>424697.14</v>
      </c>
      <c r="O137" s="44">
        <v>289016.01</v>
      </c>
      <c r="P137" s="44">
        <v>330575.79</v>
      </c>
      <c r="Q137" s="44">
        <v>282212.73</v>
      </c>
      <c r="R137" s="44">
        <v>256963.72</v>
      </c>
      <c r="S137" s="44">
        <v>272298.35</v>
      </c>
      <c r="T137" s="44">
        <v>213514.45</v>
      </c>
      <c r="U137" s="44">
        <v>307113.62</v>
      </c>
      <c r="V137" s="44">
        <v>363263.48</v>
      </c>
      <c r="W137" s="44">
        <v>301863.84</v>
      </c>
      <c r="X137" s="44">
        <v>263718.07</v>
      </c>
      <c r="Y137" s="44">
        <v>410597.81</v>
      </c>
      <c r="Z137" s="44">
        <v>398483.28</v>
      </c>
      <c r="AA137" s="44">
        <v>458839</v>
      </c>
      <c r="AB137" s="44">
        <v>342464.78</v>
      </c>
      <c r="AC137" s="44">
        <v>419414.07</v>
      </c>
      <c r="AD137" s="44">
        <v>261302.64</v>
      </c>
      <c r="AE137" s="44">
        <v>278938.21</v>
      </c>
      <c r="AF137" s="44">
        <v>289591.78</v>
      </c>
      <c r="AG137" s="44">
        <v>304461.15</v>
      </c>
      <c r="AH137" s="44">
        <v>440032.65</v>
      </c>
      <c r="AI137" s="44">
        <v>539254.93</v>
      </c>
      <c r="AJ137" s="44">
        <v>657870.21</v>
      </c>
      <c r="AK137" s="44">
        <v>361180.03</v>
      </c>
      <c r="AL137" s="44">
        <v>227013.59</v>
      </c>
      <c r="AM137" s="44">
        <v>279240.4</v>
      </c>
      <c r="AN137" s="44">
        <v>360905.66</v>
      </c>
      <c r="AO137" s="44">
        <v>437324.31</v>
      </c>
      <c r="AP137" s="44">
        <v>71807.95</v>
      </c>
      <c r="AQ137" s="44">
        <v>329500.67</v>
      </c>
      <c r="AR137" s="44">
        <v>624828.33</v>
      </c>
      <c r="AS137" s="44">
        <v>630592</v>
      </c>
      <c r="AT137" s="44">
        <v>350729.96</v>
      </c>
      <c r="AU137" s="44">
        <v>305693.29</v>
      </c>
      <c r="AV137" s="44">
        <v>538410.56</v>
      </c>
      <c r="AW137" s="44">
        <v>555524.4</v>
      </c>
      <c r="AX137" s="44">
        <v>405341.07</v>
      </c>
      <c r="AY137" s="44">
        <v>360547.27</v>
      </c>
      <c r="AZ137" s="44">
        <v>500912.46</v>
      </c>
      <c r="BA137" s="44">
        <v>500628.99</v>
      </c>
      <c r="BB137" s="44">
        <v>17861313.31</v>
      </c>
    </row>
    <row r="138" customFormat="1" spans="1:54">
      <c r="A138" s="6" t="s">
        <v>205</v>
      </c>
      <c r="B138" s="44">
        <v>3071111.69</v>
      </c>
      <c r="C138" s="44">
        <v>3462193.38</v>
      </c>
      <c r="D138" s="44">
        <v>3586752.84</v>
      </c>
      <c r="E138" s="44">
        <v>3153121.3</v>
      </c>
      <c r="F138" s="44">
        <v>1104378.13</v>
      </c>
      <c r="G138" s="44">
        <v>516638.32</v>
      </c>
      <c r="H138" s="44">
        <v>2516275.74</v>
      </c>
      <c r="I138" s="44">
        <v>3207262.15</v>
      </c>
      <c r="J138" s="44">
        <v>3133684.01</v>
      </c>
      <c r="K138" s="44">
        <v>3478074.75</v>
      </c>
      <c r="L138" s="44">
        <v>3648936.22</v>
      </c>
      <c r="M138" s="44">
        <v>3288775.59</v>
      </c>
      <c r="N138" s="44">
        <v>3697820.67</v>
      </c>
      <c r="O138" s="44">
        <v>3806769.36</v>
      </c>
      <c r="P138" s="44">
        <v>2958659.41</v>
      </c>
      <c r="Q138" s="44">
        <v>3673462.01</v>
      </c>
      <c r="R138" s="44">
        <v>3257768.28</v>
      </c>
      <c r="S138" s="44">
        <v>3764685.92</v>
      </c>
      <c r="T138" s="44">
        <v>2529519.19</v>
      </c>
      <c r="U138" s="44">
        <v>3548561.37</v>
      </c>
      <c r="V138" s="44">
        <v>3575871.75</v>
      </c>
      <c r="W138" s="44">
        <v>3489069.16</v>
      </c>
      <c r="X138" s="44">
        <v>3093045.46</v>
      </c>
      <c r="Y138" s="44">
        <v>3692028.78</v>
      </c>
      <c r="Z138" s="44">
        <v>3166431.86</v>
      </c>
      <c r="AA138" s="44">
        <v>3710230</v>
      </c>
      <c r="AB138" s="44">
        <v>3775259.72</v>
      </c>
      <c r="AC138" s="44">
        <v>3536365.51</v>
      </c>
      <c r="AD138" s="44">
        <v>3401718.41</v>
      </c>
      <c r="AE138" s="44">
        <v>3057443.17</v>
      </c>
      <c r="AF138" s="44">
        <v>3149559.49</v>
      </c>
      <c r="AG138" s="44">
        <v>2835902.22</v>
      </c>
      <c r="AH138" s="44">
        <v>3661443.02</v>
      </c>
      <c r="AI138" s="44">
        <v>3565067.31</v>
      </c>
      <c r="AJ138" s="44">
        <v>4253850.69</v>
      </c>
      <c r="AK138" s="44">
        <v>4123178.09</v>
      </c>
      <c r="AL138" s="44">
        <v>3375924.57</v>
      </c>
      <c r="AM138" s="44">
        <v>3335362.15</v>
      </c>
      <c r="AN138" s="44">
        <v>3026931.83</v>
      </c>
      <c r="AO138" s="44">
        <v>2935580.02</v>
      </c>
      <c r="AP138" s="44">
        <v>1160920.08</v>
      </c>
      <c r="AQ138" s="44">
        <v>4344541.31</v>
      </c>
      <c r="AR138" s="44">
        <v>4143678.25</v>
      </c>
      <c r="AS138" s="44">
        <v>5037433.4</v>
      </c>
      <c r="AT138" s="44">
        <v>4584559.69</v>
      </c>
      <c r="AU138" s="44">
        <v>3671134</v>
      </c>
      <c r="AV138" s="44">
        <v>3918798.69</v>
      </c>
      <c r="AW138" s="44">
        <v>4323861.45</v>
      </c>
      <c r="AX138" s="44">
        <v>4287228.04</v>
      </c>
      <c r="AY138" s="44">
        <v>3847281.23</v>
      </c>
      <c r="AZ138" s="44">
        <v>3934618.82</v>
      </c>
      <c r="BA138" s="44">
        <v>4379557.23</v>
      </c>
      <c r="BB138" s="44">
        <v>177798325.73</v>
      </c>
    </row>
    <row r="139" customFormat="1" spans="1:54">
      <c r="A139" s="152" t="s">
        <v>362</v>
      </c>
      <c r="B139" s="161">
        <v>4359686.02</v>
      </c>
      <c r="C139" s="161">
        <v>5258379.96</v>
      </c>
      <c r="D139" s="161">
        <v>5188532.25</v>
      </c>
      <c r="E139" s="161">
        <v>4561611.09</v>
      </c>
      <c r="F139" s="161">
        <v>1576205.08</v>
      </c>
      <c r="G139" s="161">
        <v>712740.6</v>
      </c>
      <c r="H139" s="161">
        <v>3596237.24</v>
      </c>
      <c r="I139" s="161">
        <v>4503300.93</v>
      </c>
      <c r="J139" s="161">
        <v>4658310.21</v>
      </c>
      <c r="K139" s="161">
        <v>4711383.93</v>
      </c>
      <c r="L139" s="161">
        <v>5215736.12</v>
      </c>
      <c r="M139" s="161">
        <v>5165058.93</v>
      </c>
      <c r="N139" s="161">
        <v>5304339.45</v>
      </c>
      <c r="O139" s="161">
        <v>5211016.67</v>
      </c>
      <c r="P139" s="161">
        <v>4587786.53</v>
      </c>
      <c r="Q139" s="161">
        <v>5451546.73</v>
      </c>
      <c r="R139" s="161">
        <v>5097352.96</v>
      </c>
      <c r="S139" s="161">
        <v>5355688.52</v>
      </c>
      <c r="T139" s="161">
        <v>3577299.5</v>
      </c>
      <c r="U139" s="161">
        <v>5243304.52</v>
      </c>
      <c r="V139" s="161">
        <v>5079127.7</v>
      </c>
      <c r="W139" s="161">
        <v>5176764.16</v>
      </c>
      <c r="X139" s="161">
        <v>4376966.62</v>
      </c>
      <c r="Y139" s="161">
        <v>5399747.9</v>
      </c>
      <c r="Z139" s="161">
        <v>4677946.48</v>
      </c>
      <c r="AA139" s="161">
        <v>5487478.95</v>
      </c>
      <c r="AB139" s="161">
        <v>5775949.44</v>
      </c>
      <c r="AC139" s="161">
        <v>5377747.09</v>
      </c>
      <c r="AD139" s="161">
        <v>5305567.7</v>
      </c>
      <c r="AE139" s="161">
        <v>5001592.89</v>
      </c>
      <c r="AF139" s="161">
        <v>4898833.68</v>
      </c>
      <c r="AG139" s="161">
        <v>4385481.79</v>
      </c>
      <c r="AH139" s="161">
        <v>5403123.03</v>
      </c>
      <c r="AI139" s="161">
        <v>5784554.78</v>
      </c>
      <c r="AJ139" s="161">
        <v>6211485.52</v>
      </c>
      <c r="AK139" s="161">
        <v>6018112.96</v>
      </c>
      <c r="AL139" s="161">
        <v>5246280.12</v>
      </c>
      <c r="AM139" s="161">
        <v>5195381.18</v>
      </c>
      <c r="AN139" s="161">
        <v>4712654.84</v>
      </c>
      <c r="AO139" s="161">
        <v>5109358.35</v>
      </c>
      <c r="AP139" s="161">
        <v>1554698.62</v>
      </c>
      <c r="AQ139" s="161">
        <v>6931921.84</v>
      </c>
      <c r="AR139" s="161">
        <v>5780724.55</v>
      </c>
      <c r="AS139" s="161">
        <v>7432005.74</v>
      </c>
      <c r="AT139" s="161">
        <v>6695397.81</v>
      </c>
      <c r="AU139" s="161">
        <v>5915554.81</v>
      </c>
      <c r="AV139" s="161">
        <v>6285734.5</v>
      </c>
      <c r="AW139" s="161">
        <v>6562094.73</v>
      </c>
      <c r="AX139" s="161">
        <v>6356039.74</v>
      </c>
      <c r="AY139" s="161">
        <v>6197957.14</v>
      </c>
      <c r="AZ139" s="161">
        <v>5885691.43</v>
      </c>
      <c r="BA139" s="161">
        <v>6130963.01</v>
      </c>
      <c r="BB139" s="162">
        <v>265688456.34</v>
      </c>
    </row>
  </sheetData>
  <protectedRanges>
    <protectedRange sqref="A56:A92" name="A56:A92"/>
  </protectedRange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53"/>
  <sheetViews>
    <sheetView workbookViewId="0">
      <selection activeCell="F41" sqref="F41"/>
    </sheetView>
  </sheetViews>
  <sheetFormatPr defaultColWidth="9" defaultRowHeight="13.5"/>
  <cols>
    <col min="1" max="1" width="6.25" style="105" customWidth="1"/>
    <col min="2" max="2" width="19.5083333333333" style="105" customWidth="1"/>
    <col min="3" max="3" width="31.625" style="105" customWidth="1"/>
    <col min="4" max="4" width="19.375" style="105" customWidth="1"/>
    <col min="5" max="5" width="9" style="105"/>
    <col min="6" max="6" width="43" style="105" customWidth="1"/>
    <col min="7" max="7" width="15.5083333333333" style="105" customWidth="1"/>
    <col min="8" max="8" width="24" style="105" customWidth="1"/>
    <col min="9" max="9" width="22.875" style="105" customWidth="1"/>
    <col min="10" max="10" width="15.5083333333333" style="105" customWidth="1"/>
    <col min="11" max="11" width="17.375" style="105" customWidth="1"/>
    <col min="12" max="16384" width="9" style="105"/>
  </cols>
  <sheetData>
    <row r="1" spans="1:11">
      <c r="A1" s="106" t="s">
        <v>365</v>
      </c>
      <c r="B1" s="106" t="s">
        <v>0</v>
      </c>
      <c r="C1" s="106" t="s">
        <v>366</v>
      </c>
      <c r="D1" s="106" t="s">
        <v>367</v>
      </c>
      <c r="E1" s="106" t="s">
        <v>368</v>
      </c>
      <c r="F1" s="106" t="s">
        <v>369</v>
      </c>
      <c r="G1" s="106" t="s">
        <v>370</v>
      </c>
      <c r="H1" s="106" t="s">
        <v>371</v>
      </c>
      <c r="I1" s="106" t="s">
        <v>372</v>
      </c>
      <c r="J1" s="106" t="s">
        <v>373</v>
      </c>
      <c r="K1" s="106" t="s">
        <v>374</v>
      </c>
    </row>
    <row r="2" ht="24.95" customHeight="1" spans="1:11">
      <c r="A2" s="107">
        <v>1</v>
      </c>
      <c r="B2" s="107" t="s">
        <v>12</v>
      </c>
      <c r="C2" s="107" t="s">
        <v>375</v>
      </c>
      <c r="D2" s="108">
        <v>9786.5</v>
      </c>
      <c r="E2" s="109">
        <v>0.06</v>
      </c>
      <c r="F2" s="107" t="s">
        <v>376</v>
      </c>
      <c r="G2" s="107">
        <v>19</v>
      </c>
      <c r="H2" s="107" t="s">
        <v>377</v>
      </c>
      <c r="I2" s="107" t="s">
        <v>378</v>
      </c>
      <c r="J2" s="107" t="s">
        <v>379</v>
      </c>
      <c r="K2" s="107" t="s">
        <v>380</v>
      </c>
    </row>
    <row r="3" ht="24.95" customHeight="1" spans="1:11">
      <c r="A3" s="107">
        <v>2</v>
      </c>
      <c r="B3" s="107" t="s">
        <v>12</v>
      </c>
      <c r="C3" s="107" t="s">
        <v>381</v>
      </c>
      <c r="D3" s="108">
        <v>10780</v>
      </c>
      <c r="E3" s="109">
        <v>0.09</v>
      </c>
      <c r="F3" s="107" t="s">
        <v>382</v>
      </c>
      <c r="G3" s="107">
        <v>19</v>
      </c>
      <c r="H3" s="107" t="s">
        <v>377</v>
      </c>
      <c r="I3" s="107" t="s">
        <v>378</v>
      </c>
      <c r="J3" s="107" t="s">
        <v>379</v>
      </c>
      <c r="K3" s="107" t="s">
        <v>380</v>
      </c>
    </row>
    <row r="4" ht="24.95" customHeight="1" spans="1:11">
      <c r="A4" s="107">
        <v>3</v>
      </c>
      <c r="B4" s="107" t="s">
        <v>12</v>
      </c>
      <c r="C4" s="107" t="s">
        <v>383</v>
      </c>
      <c r="D4" s="108">
        <v>4730</v>
      </c>
      <c r="E4" s="109">
        <v>0.06</v>
      </c>
      <c r="F4" s="107" t="s">
        <v>384</v>
      </c>
      <c r="G4" s="107">
        <v>19</v>
      </c>
      <c r="H4" s="107" t="s">
        <v>385</v>
      </c>
      <c r="I4" s="107" t="s">
        <v>378</v>
      </c>
      <c r="J4" s="107" t="s">
        <v>379</v>
      </c>
      <c r="K4" s="107" t="s">
        <v>380</v>
      </c>
    </row>
    <row r="5" ht="24.95" customHeight="1" spans="1:11">
      <c r="A5" s="107">
        <v>4</v>
      </c>
      <c r="B5" s="107" t="s">
        <v>12</v>
      </c>
      <c r="C5" s="107" t="s">
        <v>375</v>
      </c>
      <c r="D5" s="108">
        <v>7936.5</v>
      </c>
      <c r="E5" s="109">
        <v>0.06</v>
      </c>
      <c r="F5" s="107" t="s">
        <v>376</v>
      </c>
      <c r="G5" s="107">
        <v>19</v>
      </c>
      <c r="H5" s="107" t="s">
        <v>386</v>
      </c>
      <c r="I5" s="107" t="s">
        <v>378</v>
      </c>
      <c r="J5" s="107" t="s">
        <v>379</v>
      </c>
      <c r="K5" s="107" t="s">
        <v>380</v>
      </c>
    </row>
    <row r="6" ht="24.95" customHeight="1" spans="1:11">
      <c r="A6" s="107">
        <v>5</v>
      </c>
      <c r="B6" s="107" t="s">
        <v>12</v>
      </c>
      <c r="C6" s="107" t="s">
        <v>381</v>
      </c>
      <c r="D6" s="108">
        <v>3430</v>
      </c>
      <c r="E6" s="109">
        <v>0.09</v>
      </c>
      <c r="F6" s="107" t="s">
        <v>382</v>
      </c>
      <c r="G6" s="107">
        <v>19</v>
      </c>
      <c r="H6" s="107" t="s">
        <v>386</v>
      </c>
      <c r="I6" s="107" t="s">
        <v>378</v>
      </c>
      <c r="J6" s="107" t="s">
        <v>379</v>
      </c>
      <c r="K6" s="107" t="s">
        <v>380</v>
      </c>
    </row>
    <row r="7" ht="24.95" customHeight="1" spans="1:11">
      <c r="A7" s="107">
        <v>6</v>
      </c>
      <c r="B7" s="107" t="s">
        <v>12</v>
      </c>
      <c r="C7" s="107" t="s">
        <v>383</v>
      </c>
      <c r="D7" s="108">
        <v>10930</v>
      </c>
      <c r="E7" s="109">
        <v>0.06</v>
      </c>
      <c r="F7" s="107" t="s">
        <v>384</v>
      </c>
      <c r="G7" s="107">
        <v>19</v>
      </c>
      <c r="H7" s="107" t="s">
        <v>387</v>
      </c>
      <c r="I7" s="107" t="s">
        <v>378</v>
      </c>
      <c r="J7" s="107" t="s">
        <v>379</v>
      </c>
      <c r="K7" s="107" t="s">
        <v>380</v>
      </c>
    </row>
    <row r="8" ht="24.95" customHeight="1" spans="1:11">
      <c r="A8" s="107">
        <v>7</v>
      </c>
      <c r="B8" s="107" t="s">
        <v>12</v>
      </c>
      <c r="C8" s="107" t="s">
        <v>388</v>
      </c>
      <c r="D8" s="108">
        <v>8366.4</v>
      </c>
      <c r="E8" s="109">
        <v>0.06</v>
      </c>
      <c r="F8" s="107" t="s">
        <v>389</v>
      </c>
      <c r="G8" s="107">
        <v>19</v>
      </c>
      <c r="H8" s="107" t="s">
        <v>390</v>
      </c>
      <c r="I8" s="107" t="s">
        <v>378</v>
      </c>
      <c r="J8" s="107" t="s">
        <v>379</v>
      </c>
      <c r="K8" s="107" t="s">
        <v>380</v>
      </c>
    </row>
    <row r="9" ht="24.95" customHeight="1" spans="1:11">
      <c r="A9" s="107">
        <v>8</v>
      </c>
      <c r="B9" s="107" t="s">
        <v>12</v>
      </c>
      <c r="C9" s="107" t="s">
        <v>388</v>
      </c>
      <c r="D9" s="108">
        <v>231</v>
      </c>
      <c r="E9" s="109">
        <v>0.06</v>
      </c>
      <c r="F9" s="107" t="s">
        <v>391</v>
      </c>
      <c r="G9" s="107">
        <v>19</v>
      </c>
      <c r="H9" s="107" t="s">
        <v>392</v>
      </c>
      <c r="I9" s="107" t="s">
        <v>378</v>
      </c>
      <c r="J9" s="107" t="s">
        <v>379</v>
      </c>
      <c r="K9" s="107" t="s">
        <v>380</v>
      </c>
    </row>
    <row r="10" ht="24.95" customHeight="1" spans="1:11">
      <c r="A10" s="107">
        <v>9</v>
      </c>
      <c r="B10" s="107" t="s">
        <v>12</v>
      </c>
      <c r="C10" s="107" t="s">
        <v>375</v>
      </c>
      <c r="D10" s="108">
        <v>472.5</v>
      </c>
      <c r="E10" s="110">
        <v>0.06</v>
      </c>
      <c r="F10" s="107" t="s">
        <v>376</v>
      </c>
      <c r="G10" s="107">
        <v>19</v>
      </c>
      <c r="H10" s="107" t="s">
        <v>393</v>
      </c>
      <c r="I10" s="107" t="s">
        <v>378</v>
      </c>
      <c r="J10" s="107" t="s">
        <v>379</v>
      </c>
      <c r="K10" s="107" t="s">
        <v>380</v>
      </c>
    </row>
    <row r="11" ht="24.95" customHeight="1" spans="1:11">
      <c r="A11" s="107">
        <v>10</v>
      </c>
      <c r="B11" s="107" t="s">
        <v>12</v>
      </c>
      <c r="C11" s="107" t="s">
        <v>388</v>
      </c>
      <c r="D11" s="108">
        <v>11550</v>
      </c>
      <c r="E11" s="110">
        <v>0.06</v>
      </c>
      <c r="F11" s="107" t="s">
        <v>391</v>
      </c>
      <c r="G11" s="107">
        <v>19</v>
      </c>
      <c r="H11" s="107" t="s">
        <v>393</v>
      </c>
      <c r="I11" s="107" t="s">
        <v>378</v>
      </c>
      <c r="J11" s="107" t="s">
        <v>379</v>
      </c>
      <c r="K11" s="107" t="s">
        <v>380</v>
      </c>
    </row>
    <row r="12" ht="24.95" customHeight="1" spans="1:11">
      <c r="A12" s="107">
        <v>11</v>
      </c>
      <c r="B12" s="107" t="s">
        <v>12</v>
      </c>
      <c r="C12" s="107" t="s">
        <v>388</v>
      </c>
      <c r="D12" s="108">
        <v>15523</v>
      </c>
      <c r="E12" s="110">
        <v>0.06</v>
      </c>
      <c r="F12" s="107" t="s">
        <v>391</v>
      </c>
      <c r="G12" s="107">
        <v>19</v>
      </c>
      <c r="H12" s="107" t="s">
        <v>394</v>
      </c>
      <c r="I12" s="107" t="s">
        <v>378</v>
      </c>
      <c r="J12" s="107" t="s">
        <v>379</v>
      </c>
      <c r="K12" s="107" t="s">
        <v>380</v>
      </c>
    </row>
    <row r="13" ht="24.95" customHeight="1" spans="1:11">
      <c r="A13" s="107">
        <v>12</v>
      </c>
      <c r="B13" s="107" t="s">
        <v>12</v>
      </c>
      <c r="C13" s="107" t="s">
        <v>375</v>
      </c>
      <c r="D13" s="108">
        <v>1517</v>
      </c>
      <c r="E13" s="110">
        <v>0.06</v>
      </c>
      <c r="F13" s="107" t="s">
        <v>395</v>
      </c>
      <c r="G13" s="107">
        <v>19</v>
      </c>
      <c r="H13" s="107"/>
      <c r="I13" s="107" t="s">
        <v>378</v>
      </c>
      <c r="J13" s="107" t="s">
        <v>379</v>
      </c>
      <c r="K13" s="107" t="s">
        <v>380</v>
      </c>
    </row>
    <row r="14" ht="24.95" customHeight="1" spans="1:11">
      <c r="A14" s="107">
        <v>13</v>
      </c>
      <c r="B14" s="107" t="s">
        <v>12</v>
      </c>
      <c r="C14" s="107" t="s">
        <v>375</v>
      </c>
      <c r="D14" s="108">
        <v>12672.5</v>
      </c>
      <c r="E14" s="110">
        <v>0.06</v>
      </c>
      <c r="F14" s="107" t="s">
        <v>396</v>
      </c>
      <c r="G14" s="107">
        <v>19</v>
      </c>
      <c r="H14" s="107"/>
      <c r="I14" s="107" t="s">
        <v>378</v>
      </c>
      <c r="J14" s="107" t="s">
        <v>379</v>
      </c>
      <c r="K14" s="107" t="s">
        <v>380</v>
      </c>
    </row>
    <row r="15" ht="24.95" customHeight="1" spans="1:11">
      <c r="A15" s="107">
        <v>14</v>
      </c>
      <c r="B15" s="107" t="s">
        <v>12</v>
      </c>
      <c r="C15" s="107" t="s">
        <v>397</v>
      </c>
      <c r="D15" s="108">
        <v>3150</v>
      </c>
      <c r="E15" s="110">
        <v>0.06</v>
      </c>
      <c r="F15" s="107" t="s">
        <v>398</v>
      </c>
      <c r="G15" s="107">
        <v>19</v>
      </c>
      <c r="H15" s="107"/>
      <c r="I15" s="107" t="s">
        <v>378</v>
      </c>
      <c r="J15" s="107" t="s">
        <v>381</v>
      </c>
      <c r="K15" s="107" t="s">
        <v>380</v>
      </c>
    </row>
    <row r="16" ht="24.95" customHeight="1" spans="1:11">
      <c r="A16" s="107">
        <v>15</v>
      </c>
      <c r="B16" s="107" t="s">
        <v>9</v>
      </c>
      <c r="C16" s="107" t="s">
        <v>375</v>
      </c>
      <c r="D16" s="108">
        <v>31468</v>
      </c>
      <c r="E16" s="110">
        <v>0.06</v>
      </c>
      <c r="F16" s="107" t="s">
        <v>399</v>
      </c>
      <c r="G16" s="107">
        <v>19</v>
      </c>
      <c r="H16" s="107"/>
      <c r="I16" s="107" t="s">
        <v>378</v>
      </c>
      <c r="J16" s="107" t="s">
        <v>379</v>
      </c>
      <c r="K16" s="107" t="s">
        <v>380</v>
      </c>
    </row>
    <row r="17" ht="24.95" customHeight="1" spans="1:11">
      <c r="A17" s="107">
        <v>16</v>
      </c>
      <c r="B17" s="107" t="s">
        <v>9</v>
      </c>
      <c r="C17" s="107" t="s">
        <v>383</v>
      </c>
      <c r="D17" s="108">
        <v>11920</v>
      </c>
      <c r="E17" s="110">
        <v>0.06</v>
      </c>
      <c r="F17" s="107" t="s">
        <v>400</v>
      </c>
      <c r="G17" s="107">
        <v>19</v>
      </c>
      <c r="H17" s="107"/>
      <c r="I17" s="107" t="s">
        <v>378</v>
      </c>
      <c r="J17" s="107" t="s">
        <v>379</v>
      </c>
      <c r="K17" s="107" t="s">
        <v>380</v>
      </c>
    </row>
    <row r="18" ht="24.95" customHeight="1" spans="1:11">
      <c r="A18" s="107">
        <v>17</v>
      </c>
      <c r="B18" s="107" t="s">
        <v>9</v>
      </c>
      <c r="C18" s="107" t="s">
        <v>381</v>
      </c>
      <c r="D18" s="108">
        <v>5600</v>
      </c>
      <c r="E18" s="110">
        <v>0.09</v>
      </c>
      <c r="F18" s="107" t="s">
        <v>401</v>
      </c>
      <c r="G18" s="107">
        <v>19</v>
      </c>
      <c r="H18" s="107"/>
      <c r="I18" s="107" t="s">
        <v>378</v>
      </c>
      <c r="J18" s="107" t="s">
        <v>379</v>
      </c>
      <c r="K18" s="107" t="s">
        <v>380</v>
      </c>
    </row>
    <row r="19" ht="24.95" customHeight="1" spans="1:11">
      <c r="A19" s="107">
        <v>18</v>
      </c>
      <c r="B19" s="107" t="s">
        <v>50</v>
      </c>
      <c r="C19" s="107" t="s">
        <v>375</v>
      </c>
      <c r="D19" s="108">
        <v>259</v>
      </c>
      <c r="E19" s="110">
        <v>0.06</v>
      </c>
      <c r="F19" s="107" t="s">
        <v>402</v>
      </c>
      <c r="G19" s="107">
        <v>19</v>
      </c>
      <c r="H19" s="107" t="s">
        <v>403</v>
      </c>
      <c r="I19" s="107" t="s">
        <v>378</v>
      </c>
      <c r="J19" s="107" t="s">
        <v>379</v>
      </c>
      <c r="K19" s="107" t="s">
        <v>380</v>
      </c>
    </row>
    <row r="20" ht="24.95" customHeight="1" spans="1:11">
      <c r="A20" s="107">
        <v>19</v>
      </c>
      <c r="B20" s="107" t="s">
        <v>50</v>
      </c>
      <c r="C20" s="107" t="s">
        <v>375</v>
      </c>
      <c r="D20" s="108">
        <v>35853</v>
      </c>
      <c r="E20" s="110">
        <v>0.06</v>
      </c>
      <c r="F20" s="107" t="s">
        <v>404</v>
      </c>
      <c r="G20" s="107">
        <v>19</v>
      </c>
      <c r="H20" s="107" t="s">
        <v>405</v>
      </c>
      <c r="I20" s="107" t="s">
        <v>378</v>
      </c>
      <c r="J20" s="107" t="s">
        <v>379</v>
      </c>
      <c r="K20" s="107" t="s">
        <v>380</v>
      </c>
    </row>
    <row r="21" ht="24.95" customHeight="1" spans="1:11">
      <c r="A21" s="107">
        <v>20</v>
      </c>
      <c r="B21" s="107" t="s">
        <v>50</v>
      </c>
      <c r="C21" s="107" t="s">
        <v>375</v>
      </c>
      <c r="D21" s="108">
        <v>20091</v>
      </c>
      <c r="E21" s="110">
        <v>0.06</v>
      </c>
      <c r="F21" s="107" t="s">
        <v>406</v>
      </c>
      <c r="G21" s="107">
        <v>19</v>
      </c>
      <c r="H21" s="107" t="s">
        <v>405</v>
      </c>
      <c r="I21" s="107" t="s">
        <v>378</v>
      </c>
      <c r="J21" s="107" t="s">
        <v>379</v>
      </c>
      <c r="K21" s="107" t="s">
        <v>380</v>
      </c>
    </row>
    <row r="22" ht="24.95" customHeight="1" spans="1:11">
      <c r="A22" s="107">
        <v>21</v>
      </c>
      <c r="B22" s="107" t="s">
        <v>50</v>
      </c>
      <c r="C22" s="107" t="s">
        <v>375</v>
      </c>
      <c r="D22" s="108">
        <v>13135</v>
      </c>
      <c r="E22" s="110">
        <v>0.06</v>
      </c>
      <c r="F22" s="107" t="s">
        <v>407</v>
      </c>
      <c r="G22" s="107">
        <v>19</v>
      </c>
      <c r="H22" s="107" t="s">
        <v>405</v>
      </c>
      <c r="I22" s="107" t="s">
        <v>378</v>
      </c>
      <c r="J22" s="107" t="s">
        <v>379</v>
      </c>
      <c r="K22" s="107" t="s">
        <v>380</v>
      </c>
    </row>
    <row r="23" ht="24.95" customHeight="1" spans="1:11">
      <c r="A23" s="107">
        <v>22</v>
      </c>
      <c r="B23" s="107" t="s">
        <v>46</v>
      </c>
      <c r="C23" s="107" t="s">
        <v>375</v>
      </c>
      <c r="D23" s="108">
        <v>7155.66</v>
      </c>
      <c r="E23" s="110">
        <v>0.06</v>
      </c>
      <c r="F23" s="107" t="s">
        <v>408</v>
      </c>
      <c r="G23" s="107">
        <v>19</v>
      </c>
      <c r="H23" s="107"/>
      <c r="I23" s="107" t="s">
        <v>378</v>
      </c>
      <c r="J23" s="107" t="s">
        <v>379</v>
      </c>
      <c r="K23" s="107" t="s">
        <v>380</v>
      </c>
    </row>
    <row r="24" ht="24.95" customHeight="1" spans="1:11">
      <c r="A24" s="107">
        <v>23</v>
      </c>
      <c r="B24" s="107" t="s">
        <v>30</v>
      </c>
      <c r="C24" s="107" t="s">
        <v>375</v>
      </c>
      <c r="D24" s="108">
        <v>6882</v>
      </c>
      <c r="E24" s="110">
        <v>0.06</v>
      </c>
      <c r="F24" s="107" t="s">
        <v>409</v>
      </c>
      <c r="G24" s="107">
        <v>19</v>
      </c>
      <c r="H24" s="107"/>
      <c r="I24" s="107" t="s">
        <v>378</v>
      </c>
      <c r="J24" s="107" t="s">
        <v>379</v>
      </c>
      <c r="K24" s="107" t="s">
        <v>380</v>
      </c>
    </row>
    <row r="25" ht="24.95" customHeight="1" spans="1:11">
      <c r="A25" s="107">
        <v>24</v>
      </c>
      <c r="B25" s="107" t="s">
        <v>19</v>
      </c>
      <c r="C25" s="107" t="s">
        <v>410</v>
      </c>
      <c r="D25" s="108">
        <v>7490</v>
      </c>
      <c r="E25" s="110">
        <v>0.06</v>
      </c>
      <c r="F25" s="107" t="s">
        <v>411</v>
      </c>
      <c r="G25" s="107">
        <v>19</v>
      </c>
      <c r="H25" s="107"/>
      <c r="I25" s="107" t="s">
        <v>412</v>
      </c>
      <c r="J25" s="107" t="s">
        <v>397</v>
      </c>
      <c r="K25" s="107" t="s">
        <v>413</v>
      </c>
    </row>
    <row r="26" ht="24.95" customHeight="1" spans="1:11">
      <c r="A26" s="107">
        <v>25</v>
      </c>
      <c r="B26" s="107" t="s">
        <v>414</v>
      </c>
      <c r="C26" s="107" t="s">
        <v>415</v>
      </c>
      <c r="D26" s="108">
        <v>98250</v>
      </c>
      <c r="E26" s="110">
        <v>0.06</v>
      </c>
      <c r="F26" s="107" t="s">
        <v>416</v>
      </c>
      <c r="G26" s="107">
        <v>19</v>
      </c>
      <c r="H26" s="107" t="s">
        <v>417</v>
      </c>
      <c r="I26" s="107" t="s">
        <v>379</v>
      </c>
      <c r="J26" s="107" t="s">
        <v>415</v>
      </c>
      <c r="K26" s="107" t="s">
        <v>415</v>
      </c>
    </row>
    <row r="27" ht="24.95" customHeight="1" spans="1:11">
      <c r="A27" s="107">
        <v>26</v>
      </c>
      <c r="B27" s="107" t="s">
        <v>414</v>
      </c>
      <c r="C27" s="107" t="s">
        <v>415</v>
      </c>
      <c r="D27" s="108">
        <v>4535</v>
      </c>
      <c r="E27" s="110">
        <v>0.06</v>
      </c>
      <c r="F27" s="107" t="s">
        <v>416</v>
      </c>
      <c r="G27" s="107">
        <v>19</v>
      </c>
      <c r="H27" s="107" t="s">
        <v>418</v>
      </c>
      <c r="I27" s="107" t="s">
        <v>379</v>
      </c>
      <c r="J27" s="107" t="s">
        <v>415</v>
      </c>
      <c r="K27" s="107" t="s">
        <v>415</v>
      </c>
    </row>
    <row r="28" ht="24.95" customHeight="1" spans="1:11">
      <c r="A28" s="107">
        <v>27</v>
      </c>
      <c r="B28" s="107" t="s">
        <v>414</v>
      </c>
      <c r="C28" s="107" t="s">
        <v>415</v>
      </c>
      <c r="D28" s="108">
        <v>18930</v>
      </c>
      <c r="E28" s="110">
        <v>0.06</v>
      </c>
      <c r="F28" s="107" t="s">
        <v>416</v>
      </c>
      <c r="G28" s="107">
        <v>19</v>
      </c>
      <c r="H28" s="107" t="s">
        <v>419</v>
      </c>
      <c r="I28" s="107" t="s">
        <v>379</v>
      </c>
      <c r="J28" s="107" t="s">
        <v>415</v>
      </c>
      <c r="K28" s="107" t="s">
        <v>415</v>
      </c>
    </row>
    <row r="29" ht="24.95" customHeight="1" spans="1:11">
      <c r="A29" s="107">
        <v>28</v>
      </c>
      <c r="B29" s="107" t="s">
        <v>19</v>
      </c>
      <c r="C29" s="107" t="s">
        <v>420</v>
      </c>
      <c r="D29" s="108">
        <v>2400</v>
      </c>
      <c r="E29" s="110">
        <v>0.06</v>
      </c>
      <c r="F29" s="107" t="s">
        <v>421</v>
      </c>
      <c r="G29" s="107">
        <v>19</v>
      </c>
      <c r="H29" s="107"/>
      <c r="I29" s="107" t="s">
        <v>422</v>
      </c>
      <c r="J29" s="107" t="s">
        <v>423</v>
      </c>
      <c r="K29" s="107" t="s">
        <v>420</v>
      </c>
    </row>
    <row r="30" ht="24.95" customHeight="1" spans="1:11">
      <c r="A30" s="107">
        <v>29</v>
      </c>
      <c r="B30" s="107" t="s">
        <v>12</v>
      </c>
      <c r="C30" s="107" t="s">
        <v>420</v>
      </c>
      <c r="D30" s="108">
        <v>120</v>
      </c>
      <c r="E30" s="110">
        <v>0.06</v>
      </c>
      <c r="F30" s="107" t="s">
        <v>424</v>
      </c>
      <c r="G30" s="107">
        <v>19</v>
      </c>
      <c r="H30" s="107"/>
      <c r="I30" s="107" t="s">
        <v>422</v>
      </c>
      <c r="J30" s="107" t="s">
        <v>423</v>
      </c>
      <c r="K30" s="107" t="s">
        <v>420</v>
      </c>
    </row>
    <row r="31" ht="24.95" customHeight="1" spans="1:11">
      <c r="A31" s="107">
        <v>30</v>
      </c>
      <c r="B31" s="107" t="s">
        <v>12</v>
      </c>
      <c r="C31" s="107" t="s">
        <v>420</v>
      </c>
      <c r="D31" s="108">
        <v>390</v>
      </c>
      <c r="E31" s="110">
        <v>0.06</v>
      </c>
      <c r="F31" s="107" t="s">
        <v>425</v>
      </c>
      <c r="G31" s="107">
        <v>19</v>
      </c>
      <c r="H31" s="107"/>
      <c r="I31" s="107" t="s">
        <v>422</v>
      </c>
      <c r="J31" s="107" t="s">
        <v>423</v>
      </c>
      <c r="K31" s="107" t="s">
        <v>420</v>
      </c>
    </row>
    <row r="32" ht="24.95" customHeight="1" spans="1:11">
      <c r="A32" s="107">
        <v>31</v>
      </c>
      <c r="B32" s="107" t="s">
        <v>46</v>
      </c>
      <c r="C32" s="107" t="s">
        <v>420</v>
      </c>
      <c r="D32" s="108">
        <v>10505</v>
      </c>
      <c r="E32" s="110">
        <v>0.06</v>
      </c>
      <c r="F32" s="107" t="s">
        <v>426</v>
      </c>
      <c r="G32" s="107">
        <v>19</v>
      </c>
      <c r="H32" s="107"/>
      <c r="I32" s="107" t="s">
        <v>422</v>
      </c>
      <c r="J32" s="107" t="s">
        <v>423</v>
      </c>
      <c r="K32" s="107" t="s">
        <v>420</v>
      </c>
    </row>
    <row r="33" ht="24.95" customHeight="1" spans="1:11">
      <c r="A33" s="107">
        <v>32</v>
      </c>
      <c r="B33" s="107" t="s">
        <v>50</v>
      </c>
      <c r="C33" s="107" t="s">
        <v>420</v>
      </c>
      <c r="D33" s="108">
        <v>10260</v>
      </c>
      <c r="E33" s="109">
        <v>0.06</v>
      </c>
      <c r="F33" s="107" t="s">
        <v>427</v>
      </c>
      <c r="G33" s="107">
        <v>19</v>
      </c>
      <c r="H33" s="107"/>
      <c r="I33" s="107" t="s">
        <v>422</v>
      </c>
      <c r="J33" s="107" t="s">
        <v>423</v>
      </c>
      <c r="K33" s="107" t="s">
        <v>420</v>
      </c>
    </row>
    <row r="34" ht="24.95" customHeight="1" spans="1:11">
      <c r="A34" s="107">
        <v>33</v>
      </c>
      <c r="B34" s="107" t="s">
        <v>50</v>
      </c>
      <c r="C34" s="107" t="s">
        <v>420</v>
      </c>
      <c r="D34" s="108">
        <v>135</v>
      </c>
      <c r="E34" s="110">
        <v>0.06</v>
      </c>
      <c r="F34" s="107" t="s">
        <v>428</v>
      </c>
      <c r="G34" s="107">
        <v>19</v>
      </c>
      <c r="H34" s="107"/>
      <c r="I34" s="107" t="s">
        <v>422</v>
      </c>
      <c r="J34" s="107" t="s">
        <v>423</v>
      </c>
      <c r="K34" s="107" t="s">
        <v>420</v>
      </c>
    </row>
    <row r="35" ht="24.95" customHeight="1" spans="1:11">
      <c r="A35" s="107">
        <v>34</v>
      </c>
      <c r="B35" s="111" t="s">
        <v>19</v>
      </c>
      <c r="C35" s="111" t="s">
        <v>429</v>
      </c>
      <c r="D35" s="112">
        <v>1230</v>
      </c>
      <c r="E35" s="113">
        <v>0.09</v>
      </c>
      <c r="F35" s="111" t="s">
        <v>430</v>
      </c>
      <c r="G35" s="111">
        <v>19</v>
      </c>
      <c r="H35" s="111"/>
      <c r="I35" s="111" t="s">
        <v>431</v>
      </c>
      <c r="J35" s="111" t="s">
        <v>432</v>
      </c>
      <c r="K35" s="111" t="s">
        <v>432</v>
      </c>
    </row>
    <row r="36" spans="1:11">
      <c r="A36" s="107"/>
      <c r="B36" s="111"/>
      <c r="C36" s="111"/>
      <c r="D36" s="112"/>
      <c r="E36" s="113"/>
      <c r="F36" s="111"/>
      <c r="G36" s="111"/>
      <c r="H36" s="111"/>
      <c r="I36" s="111"/>
      <c r="J36" s="111"/>
      <c r="K36" s="111"/>
    </row>
    <row r="37" spans="1:11">
      <c r="A37" s="107"/>
      <c r="B37" s="111"/>
      <c r="C37" s="111"/>
      <c r="D37" s="112"/>
      <c r="E37" s="113"/>
      <c r="F37" s="111"/>
      <c r="G37" s="111"/>
      <c r="H37" s="111"/>
      <c r="I37" s="111"/>
      <c r="J37" s="111"/>
      <c r="K37" s="111"/>
    </row>
    <row r="38" spans="1:11">
      <c r="A38" s="107"/>
      <c r="B38" s="111"/>
      <c r="C38" s="111"/>
      <c r="D38" s="112"/>
      <c r="E38" s="113"/>
      <c r="F38" s="111"/>
      <c r="G38" s="111"/>
      <c r="H38" s="111"/>
      <c r="I38" s="111"/>
      <c r="J38" s="111"/>
      <c r="K38" s="111"/>
    </row>
    <row r="39" spans="1:11">
      <c r="A39" s="114"/>
      <c r="B39" s="115"/>
      <c r="C39" s="115"/>
      <c r="D39" s="116"/>
      <c r="E39" s="117"/>
      <c r="F39" s="115"/>
      <c r="G39" s="114"/>
      <c r="H39" s="115"/>
      <c r="I39" s="115"/>
      <c r="J39" s="115"/>
      <c r="K39" s="115"/>
    </row>
    <row r="40" spans="1:11">
      <c r="A40" s="114"/>
      <c r="B40" s="115"/>
      <c r="C40" s="115"/>
      <c r="D40" s="116"/>
      <c r="E40" s="117"/>
      <c r="F40" s="115"/>
      <c r="G40" s="114"/>
      <c r="H40" s="115"/>
      <c r="I40" s="115"/>
      <c r="J40" s="115"/>
      <c r="K40" s="115"/>
    </row>
    <row r="41" spans="1:11">
      <c r="A41" s="114"/>
      <c r="B41" s="114"/>
      <c r="C41" s="114"/>
      <c r="D41" s="118"/>
      <c r="E41" s="117"/>
      <c r="F41" s="114"/>
      <c r="G41" s="114"/>
      <c r="H41" s="114"/>
      <c r="I41" s="114"/>
      <c r="J41" s="114"/>
      <c r="K41" s="114"/>
    </row>
    <row r="42" spans="1:11">
      <c r="A42" s="114"/>
      <c r="B42" s="114"/>
      <c r="C42" s="114"/>
      <c r="D42" s="118"/>
      <c r="E42" s="117"/>
      <c r="F42" s="114"/>
      <c r="G42" s="114"/>
      <c r="H42" s="114"/>
      <c r="I42" s="114"/>
      <c r="J42" s="114"/>
      <c r="K42" s="114"/>
    </row>
    <row r="43" spans="1:11">
      <c r="A43" s="114"/>
      <c r="B43" s="115"/>
      <c r="C43" s="115"/>
      <c r="D43" s="116"/>
      <c r="E43" s="117"/>
      <c r="F43" s="115"/>
      <c r="G43" s="114"/>
      <c r="H43" s="115"/>
      <c r="I43" s="115"/>
      <c r="J43" s="115"/>
      <c r="K43" s="115"/>
    </row>
    <row r="44" spans="1:11">
      <c r="A44" s="114"/>
      <c r="B44" s="114"/>
      <c r="C44" s="114"/>
      <c r="D44" s="118"/>
      <c r="E44" s="117"/>
      <c r="F44" s="114"/>
      <c r="G44" s="114"/>
      <c r="H44" s="114"/>
      <c r="I44" s="114"/>
      <c r="J44" s="114"/>
      <c r="K44" s="114"/>
    </row>
    <row r="45" spans="1:11">
      <c r="A45" s="114"/>
      <c r="B45" s="114"/>
      <c r="C45" s="114"/>
      <c r="D45" s="118"/>
      <c r="E45" s="117"/>
      <c r="F45" s="114"/>
      <c r="G45" s="114"/>
      <c r="H45" s="114"/>
      <c r="I45" s="114"/>
      <c r="J45" s="114"/>
      <c r="K45" s="114"/>
    </row>
    <row r="46" spans="1:11">
      <c r="A46" s="114"/>
      <c r="B46" s="114"/>
      <c r="C46" s="114"/>
      <c r="D46" s="118"/>
      <c r="E46" s="117"/>
      <c r="F46" s="114"/>
      <c r="G46" s="114"/>
      <c r="H46" s="114"/>
      <c r="I46" s="114"/>
      <c r="J46" s="114"/>
      <c r="K46" s="114"/>
    </row>
    <row r="47" spans="1:11">
      <c r="A47" s="119"/>
      <c r="B47" s="119"/>
      <c r="C47" s="119"/>
      <c r="D47" s="120"/>
      <c r="E47" s="121"/>
      <c r="F47" s="119"/>
      <c r="G47" s="119"/>
      <c r="H47" s="119"/>
      <c r="I47" s="119"/>
      <c r="J47" s="119"/>
      <c r="K47" s="119"/>
    </row>
    <row r="48" spans="1:1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</row>
    <row r="49" spans="1:1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</row>
    <row r="50" spans="1:1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</row>
    <row r="51" spans="1:1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</row>
    <row r="52" spans="1:1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</row>
    <row r="53" spans="1:1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</row>
  </sheetData>
  <dataValidations count="1">
    <dataValidation type="whole" operator="between" allowBlank="1" showInputMessage="1" showErrorMessage="1" sqref="G35:G38">
      <formula1>1</formula1>
      <formula2>54</formula2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B7" sqref="B7"/>
    </sheetView>
  </sheetViews>
  <sheetFormatPr defaultColWidth="9" defaultRowHeight="13.5"/>
  <cols>
    <col min="1" max="1" width="11.375"/>
    <col min="2" max="3" width="16.125"/>
    <col min="4" max="4" width="12.625"/>
  </cols>
  <sheetData>
    <row r="1" spans="1:9">
      <c r="A1" t="s">
        <v>433</v>
      </c>
      <c r="B1" t="s">
        <v>434</v>
      </c>
      <c r="C1" t="s">
        <v>435</v>
      </c>
    </row>
    <row r="2" spans="1:9">
      <c r="A2" t="s">
        <v>377</v>
      </c>
      <c r="B2">
        <v>13062</v>
      </c>
      <c r="C2">
        <v>3194327.89</v>
      </c>
      <c r="D2" s="67"/>
      <c r="I2" s="104"/>
    </row>
    <row r="3" spans="1:9">
      <c r="A3" t="s">
        <v>436</v>
      </c>
      <c r="B3">
        <v>20</v>
      </c>
      <c r="C3">
        <v>5227.86</v>
      </c>
      <c r="D3" s="67"/>
      <c r="I3" s="104"/>
    </row>
    <row r="4" spans="1:9">
      <c r="A4" t="s">
        <v>437</v>
      </c>
      <c r="B4">
        <v>12</v>
      </c>
      <c r="C4">
        <v>3705.51</v>
      </c>
      <c r="D4" s="67"/>
      <c r="I4" s="104"/>
    </row>
    <row r="5" spans="1:9">
      <c r="A5" t="s">
        <v>438</v>
      </c>
      <c r="B5">
        <v>7</v>
      </c>
      <c r="C5">
        <v>436.12</v>
      </c>
      <c r="D5" s="67"/>
      <c r="I5" s="104"/>
    </row>
    <row r="6" spans="1:9">
      <c r="A6" t="s">
        <v>439</v>
      </c>
      <c r="B6">
        <v>2</v>
      </c>
      <c r="C6">
        <v>511.59</v>
      </c>
      <c r="D6" s="67"/>
      <c r="I6" s="104"/>
    </row>
    <row r="7" spans="1:9">
      <c r="A7" t="s">
        <v>440</v>
      </c>
      <c r="B7">
        <v>1</v>
      </c>
      <c r="C7">
        <v>47.45</v>
      </c>
      <c r="D7" s="67"/>
      <c r="I7" s="104"/>
    </row>
    <row r="8" spans="1:9">
      <c r="A8" t="s">
        <v>441</v>
      </c>
      <c r="B8">
        <v>4</v>
      </c>
      <c r="C8">
        <v>2130.11</v>
      </c>
      <c r="D8" s="67"/>
      <c r="I8" s="104"/>
    </row>
    <row r="9" spans="1:9">
      <c r="A9" t="s">
        <v>442</v>
      </c>
      <c r="B9">
        <v>2</v>
      </c>
      <c r="C9">
        <v>7091.86</v>
      </c>
      <c r="D9" s="67"/>
      <c r="I9" s="104"/>
    </row>
    <row r="10" spans="1:9">
      <c r="A10" t="s">
        <v>443</v>
      </c>
      <c r="B10">
        <v>116</v>
      </c>
      <c r="C10">
        <v>21833.66</v>
      </c>
      <c r="D10" s="67"/>
      <c r="I10" s="104"/>
    </row>
    <row r="11" spans="1:9">
      <c r="A11" t="s">
        <v>444</v>
      </c>
      <c r="B11">
        <v>2</v>
      </c>
      <c r="C11">
        <v>396.26</v>
      </c>
      <c r="D11" s="67"/>
      <c r="I11" s="104"/>
    </row>
    <row r="12" spans="1:9">
      <c r="A12" t="s">
        <v>445</v>
      </c>
      <c r="B12">
        <v>24</v>
      </c>
      <c r="C12">
        <v>8345.05</v>
      </c>
      <c r="D12" s="67"/>
      <c r="I12" s="104"/>
    </row>
    <row r="13" spans="1:9">
      <c r="A13" t="s">
        <v>446</v>
      </c>
      <c r="B13">
        <v>369</v>
      </c>
      <c r="C13">
        <v>71527.03</v>
      </c>
      <c r="D13" s="67"/>
      <c r="I13" s="104"/>
    </row>
    <row r="14" spans="1:9">
      <c r="A14" t="s">
        <v>447</v>
      </c>
      <c r="B14">
        <v>13</v>
      </c>
      <c r="C14">
        <v>910</v>
      </c>
      <c r="D14" s="67"/>
      <c r="I14" s="104"/>
    </row>
    <row r="15" spans="1:9">
      <c r="A15" t="s">
        <v>448</v>
      </c>
      <c r="B15">
        <v>1</v>
      </c>
      <c r="C15">
        <v>663.62</v>
      </c>
      <c r="D15" s="67"/>
      <c r="I15" s="104"/>
    </row>
    <row r="16" spans="1:9">
      <c r="A16" t="s">
        <v>449</v>
      </c>
      <c r="D16" s="67"/>
      <c r="I16" s="104"/>
    </row>
    <row r="17" spans="1:9">
      <c r="A17" t="s">
        <v>450</v>
      </c>
      <c r="B17">
        <v>13635</v>
      </c>
      <c r="C17">
        <v>3317154.01</v>
      </c>
      <c r="D17" s="67"/>
      <c r="I17" s="104"/>
    </row>
    <row r="18" spans="1:9">
      <c r="D18" s="67"/>
      <c r="I18" s="104"/>
    </row>
    <row r="19" spans="1:9">
      <c r="D19" s="67"/>
      <c r="I19" s="104"/>
    </row>
    <row r="20" spans="1:9">
      <c r="D20" s="67"/>
      <c r="I20" s="104"/>
    </row>
    <row r="21" spans="1:9">
      <c r="D21" s="67"/>
      <c r="I21" s="104"/>
    </row>
    <row r="22" spans="1:9">
      <c r="D22" s="67"/>
      <c r="I22" s="104"/>
    </row>
    <row r="23" spans="1:9">
      <c r="D23" s="67"/>
      <c r="I23" s="104"/>
    </row>
    <row r="24" spans="1:9">
      <c r="D24" s="67"/>
      <c r="I24" s="104"/>
    </row>
    <row r="25" spans="1:9">
      <c r="D25" s="67"/>
      <c r="I25" s="104"/>
    </row>
    <row r="26" spans="1:9">
      <c r="D26" s="67"/>
      <c r="I26" s="104"/>
    </row>
    <row r="27" spans="1:9">
      <c r="D27" s="67"/>
      <c r="I27" s="104"/>
    </row>
    <row r="28" spans="1:9">
      <c r="D28" s="6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141"/>
  <sheetViews>
    <sheetView workbookViewId="0">
      <selection activeCell="A2" sqref="$A1:$XFD1048576"/>
    </sheetView>
  </sheetViews>
  <sheetFormatPr defaultColWidth="7.875" defaultRowHeight="15"/>
  <cols>
    <col min="1" max="1" width="7.875" style="97"/>
    <col min="2" max="2" width="20.125" style="98" customWidth="1"/>
    <col min="3" max="3" width="7.875" style="98"/>
    <col min="4" max="4" width="13" style="98" customWidth="1"/>
    <col min="5" max="5" width="15.25" style="98" customWidth="1"/>
    <col min="6" max="6" width="11.375" style="98" customWidth="1"/>
    <col min="7" max="7" width="10.125" style="98"/>
    <col min="8" max="8" width="12.8" style="98"/>
    <col min="9" max="9" width="9.875" style="98" customWidth="1"/>
    <col min="10" max="10" width="11.125" style="98" customWidth="1"/>
    <col min="11" max="11" width="13.125" style="98" customWidth="1"/>
    <col min="12" max="12" width="11.125" style="98" customWidth="1"/>
    <col min="13" max="13" width="11.75" style="98" customWidth="1"/>
    <col min="14" max="14" width="7.875" style="98"/>
    <col min="15" max="15" width="10.125" style="98"/>
    <col min="16" max="16384" width="7.875" style="98"/>
  </cols>
  <sheetData>
    <row r="1" ht="19" customHeight="1" spans="1:13">
      <c r="A1" s="97" t="s">
        <v>451</v>
      </c>
      <c r="B1" s="99" t="s">
        <v>452</v>
      </c>
      <c r="C1" s="99" t="s">
        <v>453</v>
      </c>
      <c r="D1" s="100" t="s">
        <v>433</v>
      </c>
      <c r="E1" s="101" t="s">
        <v>454</v>
      </c>
      <c r="F1" s="102" t="s">
        <v>455</v>
      </c>
      <c r="G1" s="102" t="s">
        <v>456</v>
      </c>
      <c r="H1" s="102" t="s">
        <v>457</v>
      </c>
      <c r="I1" s="102" t="s">
        <v>458</v>
      </c>
      <c r="J1" s="102" t="s">
        <v>459</v>
      </c>
      <c r="K1" s="101" t="s">
        <v>460</v>
      </c>
      <c r="L1" s="102" t="s">
        <v>461</v>
      </c>
      <c r="M1" s="102" t="s">
        <v>462</v>
      </c>
    </row>
    <row r="2" spans="1:13">
      <c r="A2" s="97" t="s">
        <v>463</v>
      </c>
      <c r="B2" s="98" t="s">
        <v>32</v>
      </c>
      <c r="C2" s="98" t="s">
        <v>464</v>
      </c>
      <c r="D2" s="98" t="s">
        <v>377</v>
      </c>
      <c r="E2" s="98">
        <v>53</v>
      </c>
      <c r="F2" s="98">
        <v>345.12</v>
      </c>
      <c r="G2" s="98">
        <v>3318.59</v>
      </c>
      <c r="H2" s="98">
        <v>10687.17</v>
      </c>
      <c r="I2" s="98">
        <v>10687.17</v>
      </c>
      <c r="J2" s="98">
        <v>0</v>
      </c>
      <c r="K2" s="98">
        <v>53</v>
      </c>
      <c r="L2" s="98">
        <v>2750.17</v>
      </c>
      <c r="M2" s="98">
        <v>13437.34</v>
      </c>
    </row>
    <row r="3" spans="1:13">
      <c r="A3" s="97" t="s">
        <v>463</v>
      </c>
      <c r="B3" s="98" t="s">
        <v>32</v>
      </c>
      <c r="C3" s="98" t="s">
        <v>464</v>
      </c>
      <c r="D3" s="98" t="s">
        <v>445</v>
      </c>
      <c r="E3" s="98">
        <v>4</v>
      </c>
      <c r="F3" s="98">
        <v>35</v>
      </c>
      <c r="G3" s="98">
        <v>1216.2</v>
      </c>
      <c r="H3" s="98">
        <v>1560.79646017699</v>
      </c>
      <c r="I3" s="98">
        <v>1408.59</v>
      </c>
      <c r="J3" s="98">
        <v>0</v>
      </c>
      <c r="K3" s="98">
        <v>4</v>
      </c>
      <c r="L3" s="98">
        <v>162.28</v>
      </c>
      <c r="M3" s="98">
        <v>1570.87</v>
      </c>
    </row>
    <row r="4" spans="1:13">
      <c r="A4" s="97" t="s">
        <v>463</v>
      </c>
      <c r="B4" s="98" t="s">
        <v>130</v>
      </c>
      <c r="C4" s="98" t="s">
        <v>464</v>
      </c>
      <c r="D4" s="98" t="s">
        <v>377</v>
      </c>
      <c r="E4" s="98">
        <v>191</v>
      </c>
      <c r="F4" s="98">
        <v>489.5</v>
      </c>
      <c r="G4" s="98">
        <v>55251.69</v>
      </c>
      <c r="H4" s="98">
        <v>55557.66</v>
      </c>
      <c r="I4" s="98">
        <v>55431.62</v>
      </c>
      <c r="J4" s="98">
        <v>0</v>
      </c>
      <c r="K4" s="98">
        <v>191</v>
      </c>
      <c r="L4" s="98">
        <v>13475.53</v>
      </c>
      <c r="M4" s="98">
        <v>68907.15</v>
      </c>
    </row>
    <row r="5" spans="1:13">
      <c r="A5" s="97" t="s">
        <v>463</v>
      </c>
      <c r="B5" s="98" t="s">
        <v>146</v>
      </c>
      <c r="C5" s="98" t="s">
        <v>464</v>
      </c>
      <c r="D5" s="98" t="s">
        <v>377</v>
      </c>
      <c r="E5" s="98">
        <v>7</v>
      </c>
      <c r="F5" s="98">
        <v>22.13</v>
      </c>
      <c r="G5" s="98">
        <v>1009.88</v>
      </c>
      <c r="H5" s="98">
        <v>1367.21</v>
      </c>
      <c r="I5" s="98">
        <v>1367.21</v>
      </c>
      <c r="J5" s="98">
        <v>0</v>
      </c>
      <c r="K5" s="98">
        <v>7</v>
      </c>
      <c r="L5" s="98">
        <v>495.25</v>
      </c>
      <c r="M5" s="98">
        <v>1862.46</v>
      </c>
    </row>
    <row r="6" spans="1:13">
      <c r="A6" s="97" t="s">
        <v>463</v>
      </c>
      <c r="B6" s="98" t="s">
        <v>146</v>
      </c>
      <c r="C6" s="98" t="s">
        <v>464</v>
      </c>
      <c r="D6" s="98" t="s">
        <v>446</v>
      </c>
      <c r="E6" s="98">
        <v>10</v>
      </c>
      <c r="F6" s="98">
        <v>47.1</v>
      </c>
      <c r="G6" s="98">
        <v>2213.35</v>
      </c>
      <c r="H6" s="98">
        <v>2743.64601769912</v>
      </c>
      <c r="I6" s="98">
        <v>2186.12</v>
      </c>
      <c r="J6" s="98">
        <v>0</v>
      </c>
      <c r="K6" s="98">
        <v>10</v>
      </c>
      <c r="L6" s="98">
        <v>594.34</v>
      </c>
      <c r="M6" s="98">
        <v>2780.46</v>
      </c>
    </row>
    <row r="7" spans="1:13">
      <c r="A7" s="97" t="s">
        <v>463</v>
      </c>
      <c r="B7" s="98" t="s">
        <v>162</v>
      </c>
      <c r="C7" s="98" t="s">
        <v>464</v>
      </c>
      <c r="D7" s="98" t="s">
        <v>377</v>
      </c>
      <c r="E7" s="98">
        <v>76</v>
      </c>
      <c r="F7" s="98">
        <v>943.28</v>
      </c>
      <c r="G7" s="98">
        <v>9978.6</v>
      </c>
      <c r="H7" s="98">
        <v>31207.73</v>
      </c>
      <c r="I7" s="98">
        <v>31207.73</v>
      </c>
      <c r="J7" s="98">
        <v>0</v>
      </c>
      <c r="K7" s="98">
        <v>76</v>
      </c>
      <c r="L7" s="98">
        <v>3943.64</v>
      </c>
      <c r="M7" s="98">
        <v>35151.37</v>
      </c>
    </row>
    <row r="8" spans="1:13">
      <c r="A8" s="97" t="s">
        <v>463</v>
      </c>
      <c r="B8" s="98" t="s">
        <v>135</v>
      </c>
      <c r="C8" s="98" t="s">
        <v>464</v>
      </c>
      <c r="D8" s="98" t="s">
        <v>377</v>
      </c>
      <c r="E8" s="98">
        <v>383</v>
      </c>
      <c r="F8" s="98">
        <v>2251.32</v>
      </c>
      <c r="G8" s="98">
        <v>36329.85</v>
      </c>
      <c r="H8" s="98">
        <v>83247.31</v>
      </c>
      <c r="I8" s="98">
        <v>83247.31</v>
      </c>
      <c r="J8" s="98">
        <v>0</v>
      </c>
      <c r="K8" s="98">
        <v>383</v>
      </c>
      <c r="L8" s="98">
        <v>22438.83</v>
      </c>
      <c r="M8" s="98">
        <v>105686.14</v>
      </c>
    </row>
    <row r="9" spans="1:13">
      <c r="A9" s="97" t="s">
        <v>463</v>
      </c>
      <c r="B9" s="98" t="s">
        <v>56</v>
      </c>
      <c r="C9" s="98" t="s">
        <v>464</v>
      </c>
      <c r="D9" s="98" t="s">
        <v>377</v>
      </c>
      <c r="E9" s="98">
        <v>154</v>
      </c>
      <c r="F9" s="98">
        <v>792.12</v>
      </c>
      <c r="G9" s="98">
        <v>18290.67</v>
      </c>
      <c r="H9" s="98">
        <v>35277.14</v>
      </c>
      <c r="I9" s="98">
        <v>35277.14</v>
      </c>
      <c r="J9" s="98">
        <v>0</v>
      </c>
      <c r="K9" s="98">
        <v>154</v>
      </c>
      <c r="L9" s="98">
        <v>8990.64</v>
      </c>
      <c r="M9" s="98">
        <v>44267.78</v>
      </c>
    </row>
    <row r="10" spans="1:13">
      <c r="A10" s="97" t="s">
        <v>463</v>
      </c>
      <c r="B10" s="98" t="s">
        <v>11</v>
      </c>
      <c r="C10" s="98" t="s">
        <v>464</v>
      </c>
      <c r="D10" s="98" t="s">
        <v>377</v>
      </c>
      <c r="E10" s="98">
        <v>90</v>
      </c>
      <c r="F10" s="98">
        <v>226.05</v>
      </c>
      <c r="G10" s="98">
        <v>5756.25</v>
      </c>
      <c r="H10" s="98">
        <v>9616.25</v>
      </c>
      <c r="I10" s="98">
        <v>9616.25</v>
      </c>
      <c r="J10" s="98">
        <v>0</v>
      </c>
      <c r="K10" s="98">
        <v>90</v>
      </c>
      <c r="L10" s="98">
        <v>5367.92</v>
      </c>
      <c r="M10" s="98">
        <v>14984.17</v>
      </c>
    </row>
    <row r="11" spans="1:13">
      <c r="A11" s="97" t="s">
        <v>463</v>
      </c>
      <c r="B11" s="98" t="s">
        <v>52</v>
      </c>
      <c r="C11" s="98" t="s">
        <v>464</v>
      </c>
      <c r="D11" s="98" t="s">
        <v>377</v>
      </c>
      <c r="E11" s="98">
        <v>140</v>
      </c>
      <c r="F11" s="98">
        <v>997.61</v>
      </c>
      <c r="G11" s="98">
        <v>19009.04</v>
      </c>
      <c r="H11" s="98">
        <v>40343.91</v>
      </c>
      <c r="I11" s="98">
        <v>40343.91</v>
      </c>
      <c r="J11" s="98">
        <v>0</v>
      </c>
      <c r="K11" s="98">
        <v>0</v>
      </c>
      <c r="L11" s="98">
        <v>0</v>
      </c>
      <c r="M11" s="98">
        <v>40343.91</v>
      </c>
    </row>
    <row r="12" spans="1:13">
      <c r="A12" s="97" t="s">
        <v>463</v>
      </c>
      <c r="B12" s="98" t="s">
        <v>80</v>
      </c>
      <c r="C12" s="98" t="s">
        <v>464</v>
      </c>
      <c r="D12" s="98" t="s">
        <v>377</v>
      </c>
      <c r="E12" s="98">
        <v>151</v>
      </c>
      <c r="F12" s="98">
        <v>802.51</v>
      </c>
      <c r="G12" s="98">
        <v>22639.03</v>
      </c>
      <c r="H12" s="98">
        <v>38429.82</v>
      </c>
      <c r="I12" s="98">
        <v>38429.82</v>
      </c>
      <c r="J12" s="98">
        <v>0</v>
      </c>
      <c r="K12" s="98">
        <v>151</v>
      </c>
      <c r="L12" s="98">
        <v>7835.39</v>
      </c>
      <c r="M12" s="98">
        <v>46265.21</v>
      </c>
    </row>
    <row r="13" spans="1:13">
      <c r="A13" s="97" t="s">
        <v>463</v>
      </c>
      <c r="B13" s="98" t="s">
        <v>51</v>
      </c>
      <c r="C13" s="98" t="s">
        <v>464</v>
      </c>
      <c r="D13" s="98" t="s">
        <v>377</v>
      </c>
      <c r="E13" s="98">
        <v>477</v>
      </c>
      <c r="F13" s="98">
        <v>3108.05</v>
      </c>
      <c r="G13" s="98">
        <v>66692.36</v>
      </c>
      <c r="H13" s="98">
        <v>131295.71</v>
      </c>
      <c r="I13" s="98">
        <v>131295.71</v>
      </c>
      <c r="J13" s="98">
        <v>0</v>
      </c>
      <c r="K13" s="98">
        <v>0</v>
      </c>
      <c r="L13" s="98">
        <v>0</v>
      </c>
      <c r="M13" s="98">
        <v>131295.71</v>
      </c>
    </row>
    <row r="14" spans="1:13">
      <c r="A14" s="97" t="s">
        <v>463</v>
      </c>
      <c r="B14" s="98" t="s">
        <v>86</v>
      </c>
      <c r="C14" s="98" t="s">
        <v>464</v>
      </c>
      <c r="D14" s="98" t="s">
        <v>377</v>
      </c>
      <c r="E14" s="98">
        <v>329</v>
      </c>
      <c r="F14" s="98">
        <v>2471.16</v>
      </c>
      <c r="G14" s="98">
        <v>53148.68</v>
      </c>
      <c r="H14" s="98">
        <v>104072.59</v>
      </c>
      <c r="I14" s="98">
        <v>104072.59</v>
      </c>
      <c r="J14" s="98">
        <v>0</v>
      </c>
      <c r="K14" s="98">
        <v>0</v>
      </c>
      <c r="L14" s="98">
        <v>0</v>
      </c>
      <c r="M14" s="98">
        <v>104072.59</v>
      </c>
    </row>
    <row r="15" spans="1:13">
      <c r="A15" s="97" t="s">
        <v>463</v>
      </c>
      <c r="B15" s="98" t="s">
        <v>34</v>
      </c>
      <c r="C15" s="98" t="s">
        <v>464</v>
      </c>
      <c r="D15" s="98" t="s">
        <v>377</v>
      </c>
      <c r="E15" s="98">
        <v>167</v>
      </c>
      <c r="F15" s="98">
        <v>970.51</v>
      </c>
      <c r="G15" s="98">
        <v>17300.09</v>
      </c>
      <c r="H15" s="98">
        <v>40095.1</v>
      </c>
      <c r="I15" s="98">
        <v>40095.1</v>
      </c>
      <c r="J15" s="98">
        <v>0</v>
      </c>
      <c r="K15" s="98">
        <v>0</v>
      </c>
      <c r="L15" s="98">
        <v>0</v>
      </c>
      <c r="M15" s="98">
        <v>40095.1</v>
      </c>
    </row>
    <row r="16" spans="1:13">
      <c r="A16" s="97" t="s">
        <v>463</v>
      </c>
      <c r="B16" s="98" t="s">
        <v>36</v>
      </c>
      <c r="C16" s="98" t="s">
        <v>464</v>
      </c>
      <c r="D16" s="98" t="s">
        <v>377</v>
      </c>
      <c r="E16" s="98">
        <v>1</v>
      </c>
      <c r="G16" s="98">
        <v>63.02</v>
      </c>
      <c r="H16" s="98">
        <v>63.02</v>
      </c>
      <c r="I16" s="98">
        <v>63.02</v>
      </c>
      <c r="J16" s="98">
        <v>0</v>
      </c>
      <c r="K16" s="98">
        <v>1</v>
      </c>
      <c r="L16" s="98">
        <v>70.75</v>
      </c>
      <c r="M16" s="98">
        <v>133.77</v>
      </c>
    </row>
    <row r="17" spans="1:13">
      <c r="A17" s="97" t="s">
        <v>463</v>
      </c>
      <c r="B17" s="98" t="s">
        <v>96</v>
      </c>
      <c r="C17" s="98" t="s">
        <v>464</v>
      </c>
      <c r="D17" s="98" t="s">
        <v>377</v>
      </c>
      <c r="E17" s="98">
        <v>1</v>
      </c>
      <c r="F17" s="98">
        <v>1</v>
      </c>
      <c r="G17" s="98">
        <v>14.02</v>
      </c>
      <c r="H17" s="98">
        <v>29.59</v>
      </c>
      <c r="I17" s="98">
        <v>29.59</v>
      </c>
      <c r="J17" s="98">
        <v>0</v>
      </c>
      <c r="K17" s="98">
        <v>1</v>
      </c>
      <c r="L17" s="98">
        <v>51.89</v>
      </c>
      <c r="M17" s="98">
        <v>81.48</v>
      </c>
    </row>
    <row r="18" spans="1:13">
      <c r="A18" s="97" t="s">
        <v>463</v>
      </c>
      <c r="B18" s="98" t="s">
        <v>96</v>
      </c>
      <c r="C18" s="98" t="s">
        <v>464</v>
      </c>
      <c r="D18" s="98" t="s">
        <v>446</v>
      </c>
      <c r="E18" s="98">
        <v>4</v>
      </c>
      <c r="F18" s="98">
        <v>19.55</v>
      </c>
      <c r="G18" s="98">
        <v>630.64</v>
      </c>
      <c r="H18" s="98">
        <v>919.504424778761</v>
      </c>
      <c r="I18" s="98">
        <v>707.11</v>
      </c>
      <c r="J18" s="98">
        <v>0</v>
      </c>
      <c r="K18" s="98">
        <v>4</v>
      </c>
      <c r="L18" s="98">
        <v>226.42</v>
      </c>
      <c r="M18" s="98">
        <v>933.53</v>
      </c>
    </row>
    <row r="19" spans="1:13">
      <c r="A19" s="97" t="s">
        <v>463</v>
      </c>
      <c r="B19" s="98" t="s">
        <v>33</v>
      </c>
      <c r="C19" s="98" t="s">
        <v>464</v>
      </c>
      <c r="D19" s="98" t="s">
        <v>377</v>
      </c>
      <c r="E19" s="98">
        <v>20</v>
      </c>
      <c r="F19" s="98">
        <v>153.92</v>
      </c>
      <c r="G19" s="98">
        <v>1967.41</v>
      </c>
      <c r="H19" s="98">
        <v>5426.36</v>
      </c>
      <c r="I19" s="98">
        <v>5426.36</v>
      </c>
      <c r="J19" s="98">
        <v>0</v>
      </c>
      <c r="K19" s="98">
        <v>20</v>
      </c>
      <c r="L19" s="98">
        <v>1037.8</v>
      </c>
      <c r="M19" s="98">
        <v>6464.16</v>
      </c>
    </row>
    <row r="20" spans="1:13">
      <c r="A20" s="97" t="s">
        <v>463</v>
      </c>
      <c r="B20" s="98" t="s">
        <v>33</v>
      </c>
      <c r="C20" s="98" t="s">
        <v>464</v>
      </c>
      <c r="D20" s="98" t="s">
        <v>445</v>
      </c>
      <c r="E20" s="98">
        <v>18</v>
      </c>
      <c r="F20" s="98">
        <v>140.28</v>
      </c>
      <c r="G20" s="98">
        <v>4661.3</v>
      </c>
      <c r="H20" s="98">
        <v>6202.4778761062</v>
      </c>
      <c r="I20" s="98">
        <v>5883.88</v>
      </c>
      <c r="J20" s="98">
        <v>0</v>
      </c>
      <c r="K20" s="98">
        <v>18</v>
      </c>
      <c r="L20" s="98">
        <v>339.66</v>
      </c>
      <c r="M20" s="98">
        <v>6223.54</v>
      </c>
    </row>
    <row r="21" spans="1:13">
      <c r="A21" s="97" t="s">
        <v>463</v>
      </c>
      <c r="B21" s="98" t="s">
        <v>128</v>
      </c>
      <c r="C21" s="98" t="s">
        <v>464</v>
      </c>
      <c r="D21" s="98" t="s">
        <v>377</v>
      </c>
      <c r="E21" s="98">
        <v>7</v>
      </c>
      <c r="F21" s="98">
        <v>96.37</v>
      </c>
      <c r="G21" s="98">
        <v>4015.74</v>
      </c>
      <c r="H21" s="98">
        <v>5923.12</v>
      </c>
      <c r="I21" s="98">
        <v>5923.12</v>
      </c>
      <c r="J21" s="98">
        <v>0</v>
      </c>
      <c r="K21" s="98">
        <v>7</v>
      </c>
      <c r="L21" s="98">
        <v>363.23</v>
      </c>
      <c r="M21" s="98">
        <v>6286.35</v>
      </c>
    </row>
    <row r="22" spans="1:13">
      <c r="A22" s="97" t="s">
        <v>463</v>
      </c>
      <c r="B22" s="98" t="s">
        <v>31</v>
      </c>
      <c r="C22" s="98" t="s">
        <v>464</v>
      </c>
      <c r="D22" s="98" t="s">
        <v>377</v>
      </c>
      <c r="E22" s="98">
        <v>232</v>
      </c>
      <c r="F22" s="98">
        <v>1088.82</v>
      </c>
      <c r="G22" s="98">
        <v>19975.63</v>
      </c>
      <c r="H22" s="98">
        <v>43449.76</v>
      </c>
      <c r="I22" s="98">
        <v>43449.76</v>
      </c>
      <c r="J22" s="98">
        <v>0</v>
      </c>
      <c r="K22" s="98">
        <v>232</v>
      </c>
      <c r="L22" s="98">
        <v>12076.2</v>
      </c>
      <c r="M22" s="98">
        <v>55525.96</v>
      </c>
    </row>
    <row r="23" spans="1:13">
      <c r="A23" s="97" t="s">
        <v>463</v>
      </c>
      <c r="B23" s="98" t="s">
        <v>121</v>
      </c>
      <c r="C23" s="98" t="s">
        <v>464</v>
      </c>
      <c r="D23" s="98" t="s">
        <v>377</v>
      </c>
      <c r="E23" s="98">
        <v>5</v>
      </c>
      <c r="F23" s="98">
        <v>33.48</v>
      </c>
      <c r="G23" s="98">
        <v>2036.98</v>
      </c>
      <c r="H23" s="98">
        <v>2658.24</v>
      </c>
      <c r="I23" s="98">
        <v>2658.24</v>
      </c>
      <c r="J23" s="98">
        <v>0</v>
      </c>
      <c r="K23" s="98">
        <v>5</v>
      </c>
      <c r="L23" s="98">
        <v>353.75</v>
      </c>
      <c r="M23" s="98">
        <v>3011.99</v>
      </c>
    </row>
    <row r="24" spans="1:13">
      <c r="A24" s="97" t="s">
        <v>463</v>
      </c>
      <c r="B24" s="98" t="s">
        <v>43</v>
      </c>
      <c r="C24" s="98" t="s">
        <v>464</v>
      </c>
      <c r="D24" s="98" t="s">
        <v>377</v>
      </c>
      <c r="E24" s="98">
        <v>279</v>
      </c>
      <c r="F24" s="98">
        <v>1660.66</v>
      </c>
      <c r="G24" s="98">
        <v>27364.87</v>
      </c>
      <c r="H24" s="98">
        <v>64412.93</v>
      </c>
      <c r="I24" s="98">
        <v>64412.93</v>
      </c>
      <c r="J24" s="98">
        <v>0</v>
      </c>
      <c r="K24" s="98">
        <v>279</v>
      </c>
      <c r="L24" s="98">
        <v>14477.31</v>
      </c>
      <c r="M24" s="98">
        <v>78890.24</v>
      </c>
    </row>
    <row r="25" spans="1:13">
      <c r="A25" s="97" t="s">
        <v>463</v>
      </c>
      <c r="B25" s="98" t="s">
        <v>138</v>
      </c>
      <c r="C25" s="98" t="s">
        <v>464</v>
      </c>
      <c r="D25" s="98" t="s">
        <v>377</v>
      </c>
      <c r="E25" s="98">
        <v>18</v>
      </c>
      <c r="F25" s="98">
        <v>179.41</v>
      </c>
      <c r="G25" s="98">
        <v>2195.93</v>
      </c>
      <c r="H25" s="98">
        <v>6153.93</v>
      </c>
      <c r="I25" s="98">
        <v>6153.93</v>
      </c>
      <c r="J25" s="98">
        <v>0</v>
      </c>
      <c r="K25" s="98">
        <v>18</v>
      </c>
      <c r="L25" s="98">
        <v>934.02</v>
      </c>
      <c r="M25" s="98">
        <v>7087.95</v>
      </c>
    </row>
    <row r="26" spans="1:13">
      <c r="A26" s="97" t="s">
        <v>463</v>
      </c>
      <c r="B26" s="98" t="s">
        <v>45</v>
      </c>
      <c r="C26" s="98" t="s">
        <v>464</v>
      </c>
      <c r="D26" s="98" t="s">
        <v>377</v>
      </c>
      <c r="E26" s="98">
        <v>45</v>
      </c>
      <c r="G26" s="98">
        <v>1417.95</v>
      </c>
      <c r="H26" s="98">
        <v>1417.95</v>
      </c>
      <c r="I26" s="98">
        <v>1417.95</v>
      </c>
      <c r="J26" s="98">
        <v>0</v>
      </c>
      <c r="K26" s="98">
        <v>45</v>
      </c>
      <c r="L26" s="98">
        <v>2335.05</v>
      </c>
      <c r="M26" s="98">
        <v>3753</v>
      </c>
    </row>
    <row r="27" spans="1:13">
      <c r="A27" s="97" t="s">
        <v>463</v>
      </c>
      <c r="B27" s="98" t="s">
        <v>45</v>
      </c>
      <c r="C27" s="98" t="s">
        <v>464</v>
      </c>
      <c r="D27" s="98" t="s">
        <v>445</v>
      </c>
      <c r="E27" s="98">
        <v>1</v>
      </c>
      <c r="F27" s="98">
        <v>1.4</v>
      </c>
      <c r="G27" s="98">
        <v>188.9</v>
      </c>
      <c r="H27" s="98">
        <v>185.752212389381</v>
      </c>
      <c r="I27" s="98">
        <v>168.05</v>
      </c>
      <c r="J27" s="98">
        <v>0</v>
      </c>
      <c r="K27" s="98">
        <v>1</v>
      </c>
      <c r="L27" s="98">
        <v>18.87</v>
      </c>
      <c r="M27" s="98">
        <v>186.92</v>
      </c>
    </row>
    <row r="28" spans="1:13">
      <c r="A28" s="97" t="s">
        <v>463</v>
      </c>
      <c r="B28" s="98" t="s">
        <v>67</v>
      </c>
      <c r="C28" s="98" t="s">
        <v>464</v>
      </c>
      <c r="D28" s="98" t="s">
        <v>377</v>
      </c>
      <c r="E28" s="98">
        <v>3</v>
      </c>
      <c r="F28" s="98">
        <v>6.08</v>
      </c>
      <c r="G28" s="98">
        <v>211.21</v>
      </c>
      <c r="H28" s="98">
        <v>298.41</v>
      </c>
      <c r="I28" s="98">
        <v>298.41</v>
      </c>
      <c r="J28" s="98">
        <v>0</v>
      </c>
      <c r="K28" s="98">
        <v>3</v>
      </c>
      <c r="L28" s="98">
        <v>155.67</v>
      </c>
      <c r="M28" s="98">
        <v>454.08</v>
      </c>
    </row>
    <row r="29" spans="1:13">
      <c r="A29" s="97" t="s">
        <v>463</v>
      </c>
      <c r="B29" s="98" t="s">
        <v>112</v>
      </c>
      <c r="C29" s="98" t="s">
        <v>464</v>
      </c>
      <c r="D29" s="98" t="s">
        <v>377</v>
      </c>
      <c r="E29" s="98">
        <v>63</v>
      </c>
      <c r="F29" s="98">
        <v>220.47</v>
      </c>
      <c r="G29" s="98">
        <v>6151.29</v>
      </c>
      <c r="H29" s="98">
        <v>10475.21</v>
      </c>
      <c r="I29" s="98">
        <v>10475.21</v>
      </c>
      <c r="J29" s="98">
        <v>0</v>
      </c>
      <c r="K29" s="98">
        <v>63</v>
      </c>
      <c r="L29" s="98">
        <v>3608.55</v>
      </c>
      <c r="M29" s="98">
        <v>14083.76</v>
      </c>
    </row>
    <row r="30" spans="1:13">
      <c r="A30" s="97" t="s">
        <v>463</v>
      </c>
      <c r="B30" s="98" t="s">
        <v>145</v>
      </c>
      <c r="C30" s="98" t="s">
        <v>464</v>
      </c>
      <c r="D30" s="98" t="s">
        <v>377</v>
      </c>
      <c r="E30" s="98">
        <v>213</v>
      </c>
      <c r="F30" s="98">
        <v>530.21</v>
      </c>
      <c r="G30" s="98">
        <v>15561.22</v>
      </c>
      <c r="H30" s="98">
        <v>25469.51</v>
      </c>
      <c r="I30" s="98">
        <v>25469.51</v>
      </c>
      <c r="J30" s="98">
        <v>0</v>
      </c>
      <c r="K30" s="98">
        <v>213</v>
      </c>
      <c r="L30" s="98">
        <v>11052.57</v>
      </c>
      <c r="M30" s="98">
        <v>36522.08</v>
      </c>
    </row>
    <row r="31" spans="1:13">
      <c r="A31" s="97" t="s">
        <v>463</v>
      </c>
      <c r="B31" s="98" t="s">
        <v>79</v>
      </c>
      <c r="C31" s="98" t="s">
        <v>464</v>
      </c>
      <c r="D31" s="98" t="s">
        <v>377</v>
      </c>
      <c r="E31" s="98">
        <v>108</v>
      </c>
      <c r="F31" s="98">
        <v>1093.14</v>
      </c>
      <c r="G31" s="98">
        <v>10367.35</v>
      </c>
      <c r="H31" s="98">
        <v>35445.27</v>
      </c>
      <c r="I31" s="98">
        <v>35445.27</v>
      </c>
      <c r="J31" s="98">
        <v>0</v>
      </c>
      <c r="K31" s="98">
        <v>108</v>
      </c>
      <c r="L31" s="98">
        <v>5604.12</v>
      </c>
      <c r="M31" s="98">
        <v>41049.39</v>
      </c>
    </row>
    <row r="32" spans="1:13">
      <c r="A32" s="97" t="s">
        <v>463</v>
      </c>
      <c r="B32" s="98" t="s">
        <v>79</v>
      </c>
      <c r="C32" s="98" t="s">
        <v>465</v>
      </c>
      <c r="D32" s="98" t="s">
        <v>377</v>
      </c>
      <c r="E32" s="98">
        <v>1</v>
      </c>
      <c r="F32" s="98">
        <v>1</v>
      </c>
      <c r="G32" s="98">
        <v>37.88</v>
      </c>
      <c r="H32" s="98">
        <v>73.99</v>
      </c>
      <c r="I32" s="98">
        <v>73.99</v>
      </c>
      <c r="J32" s="98">
        <v>0</v>
      </c>
      <c r="K32" s="98">
        <v>1</v>
      </c>
      <c r="L32" s="98">
        <v>70.75</v>
      </c>
      <c r="M32" s="98">
        <v>144.74</v>
      </c>
    </row>
    <row r="33" spans="1:13">
      <c r="A33" s="97" t="s">
        <v>463</v>
      </c>
      <c r="B33" s="98" t="s">
        <v>54</v>
      </c>
      <c r="C33" s="98" t="s">
        <v>464</v>
      </c>
      <c r="D33" s="98" t="s">
        <v>377</v>
      </c>
      <c r="E33" s="98">
        <v>37</v>
      </c>
      <c r="F33" s="98">
        <v>380.31</v>
      </c>
      <c r="G33" s="98">
        <v>3547.35</v>
      </c>
      <c r="H33" s="98">
        <v>12272.21</v>
      </c>
      <c r="I33" s="98">
        <v>12272.21</v>
      </c>
      <c r="J33" s="98">
        <v>0</v>
      </c>
      <c r="K33" s="98">
        <v>37</v>
      </c>
      <c r="L33" s="98">
        <v>1919.93</v>
      </c>
      <c r="M33" s="98">
        <v>14192.14</v>
      </c>
    </row>
    <row r="34" spans="1:13">
      <c r="A34" s="97" t="s">
        <v>463</v>
      </c>
      <c r="B34" s="98" t="s">
        <v>66</v>
      </c>
      <c r="C34" s="98" t="s">
        <v>464</v>
      </c>
      <c r="D34" s="98" t="s">
        <v>377</v>
      </c>
      <c r="E34" s="98">
        <v>12</v>
      </c>
      <c r="F34" s="98">
        <v>111.18</v>
      </c>
      <c r="G34" s="98">
        <v>2528.06</v>
      </c>
      <c r="H34" s="98">
        <v>4819.97</v>
      </c>
      <c r="I34" s="98">
        <v>4819.97</v>
      </c>
      <c r="J34" s="98">
        <v>0</v>
      </c>
      <c r="K34" s="98">
        <v>0</v>
      </c>
      <c r="L34" s="98">
        <v>0</v>
      </c>
      <c r="M34" s="98">
        <v>4819.97</v>
      </c>
    </row>
    <row r="35" spans="1:13">
      <c r="A35" s="97" t="s">
        <v>463</v>
      </c>
      <c r="B35" s="98" t="s">
        <v>152</v>
      </c>
      <c r="C35" s="98" t="s">
        <v>464</v>
      </c>
      <c r="D35" s="98" t="s">
        <v>377</v>
      </c>
      <c r="E35" s="98">
        <v>94</v>
      </c>
      <c r="F35" s="98">
        <v>209.59</v>
      </c>
      <c r="G35" s="98">
        <v>9572.62</v>
      </c>
      <c r="H35" s="98">
        <v>13838.93</v>
      </c>
      <c r="I35" s="98">
        <v>13838.93</v>
      </c>
      <c r="J35" s="98">
        <v>0</v>
      </c>
      <c r="K35" s="98">
        <v>0</v>
      </c>
      <c r="L35" s="98">
        <v>0</v>
      </c>
      <c r="M35" s="98">
        <v>13838.93</v>
      </c>
    </row>
    <row r="36" spans="1:13">
      <c r="A36" s="97" t="s">
        <v>463</v>
      </c>
      <c r="B36" s="98" t="s">
        <v>53</v>
      </c>
      <c r="C36" s="98" t="s">
        <v>464</v>
      </c>
      <c r="D36" s="98" t="s">
        <v>377</v>
      </c>
      <c r="E36" s="98">
        <v>881</v>
      </c>
      <c r="F36" s="98">
        <v>5810.12</v>
      </c>
      <c r="G36" s="98">
        <v>84324.57</v>
      </c>
      <c r="H36" s="98">
        <v>215389.9</v>
      </c>
      <c r="I36" s="98">
        <v>215389.9</v>
      </c>
      <c r="J36" s="98">
        <v>0</v>
      </c>
      <c r="K36" s="98">
        <v>0</v>
      </c>
      <c r="L36" s="98">
        <v>0</v>
      </c>
      <c r="M36" s="98">
        <v>215389.9</v>
      </c>
    </row>
    <row r="37" spans="1:13">
      <c r="A37" s="97" t="s">
        <v>463</v>
      </c>
      <c r="B37" s="98" t="s">
        <v>53</v>
      </c>
      <c r="C37" s="98" t="s">
        <v>464</v>
      </c>
      <c r="D37" s="98" t="s">
        <v>446</v>
      </c>
      <c r="E37" s="98">
        <v>15</v>
      </c>
      <c r="F37" s="98">
        <v>78.97</v>
      </c>
      <c r="G37" s="98">
        <v>3795.82</v>
      </c>
      <c r="H37" s="98">
        <v>4905.55752212389</v>
      </c>
      <c r="I37" s="98">
        <v>4905.56</v>
      </c>
      <c r="J37" s="98">
        <v>0</v>
      </c>
      <c r="K37" s="98">
        <v>0</v>
      </c>
      <c r="L37" s="98">
        <v>0</v>
      </c>
      <c r="M37" s="98">
        <v>4905.56</v>
      </c>
    </row>
    <row r="38" spans="1:13">
      <c r="A38" s="97" t="s">
        <v>463</v>
      </c>
      <c r="B38" s="98" t="s">
        <v>111</v>
      </c>
      <c r="C38" s="98" t="s">
        <v>464</v>
      </c>
      <c r="D38" s="98" t="s">
        <v>377</v>
      </c>
      <c r="E38" s="98">
        <v>124</v>
      </c>
      <c r="F38" s="98">
        <v>426.72</v>
      </c>
      <c r="G38" s="98">
        <v>10042.35</v>
      </c>
      <c r="H38" s="98">
        <v>18518.96</v>
      </c>
      <c r="I38" s="98">
        <v>18518.96</v>
      </c>
      <c r="J38" s="98">
        <v>0</v>
      </c>
      <c r="K38" s="98">
        <v>124</v>
      </c>
      <c r="L38" s="98">
        <v>6434.36</v>
      </c>
      <c r="M38" s="98">
        <v>24953.32</v>
      </c>
    </row>
    <row r="39" spans="1:13">
      <c r="A39" s="97" t="s">
        <v>463</v>
      </c>
      <c r="B39" s="98" t="s">
        <v>81</v>
      </c>
      <c r="C39" s="98" t="s">
        <v>464</v>
      </c>
      <c r="D39" s="98" t="s">
        <v>377</v>
      </c>
      <c r="E39" s="98">
        <v>238</v>
      </c>
      <c r="F39" s="98">
        <v>775.93</v>
      </c>
      <c r="G39" s="98">
        <v>18135.29</v>
      </c>
      <c r="H39" s="98">
        <v>32655.5</v>
      </c>
      <c r="I39" s="98">
        <v>32655.5</v>
      </c>
      <c r="J39" s="98">
        <v>0</v>
      </c>
      <c r="K39" s="98">
        <v>238</v>
      </c>
      <c r="L39" s="98">
        <v>12425.26</v>
      </c>
      <c r="M39" s="98">
        <v>45080.76</v>
      </c>
    </row>
    <row r="40" spans="1:13">
      <c r="A40" s="97" t="s">
        <v>463</v>
      </c>
      <c r="B40" s="98" t="s">
        <v>82</v>
      </c>
      <c r="C40" s="98" t="s">
        <v>464</v>
      </c>
      <c r="D40" s="98" t="s">
        <v>377</v>
      </c>
      <c r="E40" s="98">
        <v>209</v>
      </c>
      <c r="F40" s="98">
        <v>1072.6</v>
      </c>
      <c r="G40" s="98">
        <v>32443.1</v>
      </c>
      <c r="H40" s="98">
        <v>52898.05</v>
      </c>
      <c r="I40" s="98">
        <v>52898.05</v>
      </c>
      <c r="J40" s="98">
        <v>0</v>
      </c>
      <c r="K40" s="98">
        <v>0</v>
      </c>
      <c r="L40" s="98">
        <v>0</v>
      </c>
      <c r="M40" s="98">
        <v>52898.05</v>
      </c>
    </row>
    <row r="41" spans="1:13">
      <c r="A41" s="97" t="s">
        <v>463</v>
      </c>
      <c r="B41" s="98" t="s">
        <v>82</v>
      </c>
      <c r="C41" s="98" t="s">
        <v>464</v>
      </c>
      <c r="D41" s="98" t="s">
        <v>446</v>
      </c>
      <c r="E41" s="98">
        <v>9</v>
      </c>
      <c r="F41" s="98">
        <v>68.02</v>
      </c>
      <c r="G41" s="98">
        <v>2293.44</v>
      </c>
      <c r="H41" s="98">
        <v>3304.40707964602</v>
      </c>
      <c r="I41" s="98">
        <v>3304.41</v>
      </c>
      <c r="J41" s="98">
        <v>0</v>
      </c>
      <c r="K41" s="98">
        <v>0</v>
      </c>
      <c r="L41" s="98">
        <v>0</v>
      </c>
      <c r="M41" s="98">
        <v>3304.41</v>
      </c>
    </row>
    <row r="42" spans="1:13">
      <c r="A42" s="97" t="s">
        <v>463</v>
      </c>
      <c r="B42" s="98" t="s">
        <v>148</v>
      </c>
      <c r="C42" s="98" t="s">
        <v>464</v>
      </c>
      <c r="D42" s="98" t="s">
        <v>377</v>
      </c>
      <c r="E42" s="98">
        <v>213</v>
      </c>
      <c r="F42" s="98">
        <v>1144.11</v>
      </c>
      <c r="G42" s="98">
        <v>23457.48</v>
      </c>
      <c r="H42" s="98">
        <v>46062.64</v>
      </c>
      <c r="I42" s="98">
        <v>46062.64</v>
      </c>
      <c r="J42" s="98">
        <v>0</v>
      </c>
      <c r="K42" s="98">
        <v>213</v>
      </c>
      <c r="L42" s="98">
        <v>11052.57</v>
      </c>
      <c r="M42" s="98">
        <v>57115.21</v>
      </c>
    </row>
    <row r="43" spans="1:13">
      <c r="A43" s="97" t="s">
        <v>463</v>
      </c>
      <c r="B43" s="98" t="s">
        <v>139</v>
      </c>
      <c r="C43" s="98" t="s">
        <v>464</v>
      </c>
      <c r="D43" s="98" t="s">
        <v>377</v>
      </c>
      <c r="E43" s="98">
        <v>107</v>
      </c>
      <c r="F43" s="98">
        <v>778.02</v>
      </c>
      <c r="G43" s="98">
        <v>12724.53</v>
      </c>
      <c r="H43" s="98">
        <v>30034.92</v>
      </c>
      <c r="I43" s="98">
        <v>30034.92</v>
      </c>
      <c r="J43" s="98">
        <v>0</v>
      </c>
      <c r="K43" s="98">
        <v>107</v>
      </c>
      <c r="L43" s="98">
        <v>5552.23</v>
      </c>
      <c r="M43" s="98">
        <v>35587.15</v>
      </c>
    </row>
    <row r="44" spans="1:13">
      <c r="A44" s="97" t="s">
        <v>463</v>
      </c>
      <c r="B44" s="98" t="s">
        <v>110</v>
      </c>
      <c r="C44" s="98" t="s">
        <v>464</v>
      </c>
      <c r="D44" s="98" t="s">
        <v>377</v>
      </c>
      <c r="E44" s="98">
        <v>14</v>
      </c>
      <c r="F44" s="98">
        <v>41.21</v>
      </c>
      <c r="G44" s="98">
        <v>1008.79</v>
      </c>
      <c r="H44" s="98">
        <v>1833.27</v>
      </c>
      <c r="I44" s="98">
        <v>1833.27</v>
      </c>
      <c r="J44" s="98">
        <v>0</v>
      </c>
      <c r="K44" s="98">
        <v>14</v>
      </c>
      <c r="L44" s="98">
        <v>726.46</v>
      </c>
      <c r="M44" s="98">
        <v>2559.73</v>
      </c>
    </row>
    <row r="45" spans="1:13">
      <c r="A45" s="97" t="s">
        <v>463</v>
      </c>
      <c r="B45" s="98" t="s">
        <v>109</v>
      </c>
      <c r="C45" s="98" t="s">
        <v>464</v>
      </c>
      <c r="D45" s="98" t="s">
        <v>377</v>
      </c>
      <c r="E45" s="98">
        <v>112</v>
      </c>
      <c r="F45" s="98">
        <v>767.12</v>
      </c>
      <c r="G45" s="98">
        <v>16629.29</v>
      </c>
      <c r="H45" s="98">
        <v>31488.6</v>
      </c>
      <c r="I45" s="98">
        <v>31488.6</v>
      </c>
      <c r="J45" s="98">
        <v>0</v>
      </c>
      <c r="K45" s="98">
        <v>112</v>
      </c>
      <c r="L45" s="98">
        <v>5811.68</v>
      </c>
      <c r="M45" s="98">
        <v>37300.28</v>
      </c>
    </row>
    <row r="46" spans="1:13">
      <c r="A46" s="97" t="s">
        <v>463</v>
      </c>
      <c r="B46" s="98" t="s">
        <v>140</v>
      </c>
      <c r="C46" s="98" t="s">
        <v>464</v>
      </c>
      <c r="D46" s="98" t="s">
        <v>377</v>
      </c>
      <c r="E46" s="98">
        <v>17</v>
      </c>
      <c r="F46" s="98">
        <v>122.01</v>
      </c>
      <c r="G46" s="98">
        <v>2457.56</v>
      </c>
      <c r="H46" s="98">
        <v>5091.3</v>
      </c>
      <c r="I46" s="98">
        <v>5091.3</v>
      </c>
      <c r="J46" s="98">
        <v>0</v>
      </c>
      <c r="K46" s="98">
        <v>17</v>
      </c>
      <c r="L46" s="98">
        <v>882.13</v>
      </c>
      <c r="M46" s="98">
        <v>5973.43</v>
      </c>
    </row>
    <row r="47" spans="1:13">
      <c r="A47" s="97" t="s">
        <v>463</v>
      </c>
      <c r="B47" s="98" t="s">
        <v>169</v>
      </c>
      <c r="C47" s="98" t="s">
        <v>464</v>
      </c>
      <c r="D47" s="98" t="s">
        <v>377</v>
      </c>
      <c r="E47" s="98">
        <v>311</v>
      </c>
      <c r="F47" s="98">
        <v>1182.86</v>
      </c>
      <c r="G47" s="98">
        <v>38325.09</v>
      </c>
      <c r="H47" s="98">
        <v>61321.41</v>
      </c>
      <c r="I47" s="98">
        <v>61321.41</v>
      </c>
      <c r="J47" s="98">
        <v>0</v>
      </c>
      <c r="K47" s="98">
        <v>0</v>
      </c>
      <c r="L47" s="98">
        <v>0</v>
      </c>
      <c r="M47" s="98">
        <v>61321.41</v>
      </c>
    </row>
    <row r="48" spans="1:13">
      <c r="A48" s="97" t="s">
        <v>463</v>
      </c>
      <c r="B48" s="98" t="s">
        <v>26</v>
      </c>
      <c r="C48" s="98" t="s">
        <v>464</v>
      </c>
      <c r="D48" s="98" t="s">
        <v>377</v>
      </c>
      <c r="E48" s="98">
        <v>324</v>
      </c>
      <c r="F48" s="98">
        <v>635.07</v>
      </c>
      <c r="G48" s="98">
        <v>20736.48</v>
      </c>
      <c r="H48" s="98">
        <v>35439.72</v>
      </c>
      <c r="I48" s="98">
        <v>35439.72</v>
      </c>
      <c r="J48" s="98">
        <v>0</v>
      </c>
      <c r="K48" s="98">
        <v>324</v>
      </c>
      <c r="L48" s="98">
        <v>19018.98</v>
      </c>
      <c r="M48" s="98">
        <v>54458.7</v>
      </c>
    </row>
    <row r="49" spans="1:13">
      <c r="A49" s="97" t="s">
        <v>463</v>
      </c>
      <c r="B49" s="98" t="s">
        <v>26</v>
      </c>
      <c r="C49" s="98" t="s">
        <v>464</v>
      </c>
      <c r="D49" s="98" t="s">
        <v>446</v>
      </c>
      <c r="E49" s="98">
        <v>1</v>
      </c>
      <c r="F49" s="98">
        <v>0</v>
      </c>
      <c r="G49" s="98">
        <v>88.4</v>
      </c>
      <c r="H49" s="98">
        <v>78.2300884955752</v>
      </c>
      <c r="I49" s="98">
        <v>29.56</v>
      </c>
      <c r="J49" s="98">
        <v>0</v>
      </c>
      <c r="K49" s="98">
        <v>1</v>
      </c>
      <c r="L49" s="98">
        <v>103.78</v>
      </c>
      <c r="M49" s="98">
        <v>133.34</v>
      </c>
    </row>
    <row r="50" spans="1:13">
      <c r="A50" s="97" t="s">
        <v>463</v>
      </c>
      <c r="B50" s="98" t="s">
        <v>28</v>
      </c>
      <c r="C50" s="98" t="s">
        <v>464</v>
      </c>
      <c r="D50" s="98" t="s">
        <v>377</v>
      </c>
      <c r="E50" s="98">
        <v>42</v>
      </c>
      <c r="G50" s="98">
        <v>1543.99</v>
      </c>
      <c r="H50" s="98">
        <v>1543.99</v>
      </c>
      <c r="I50" s="98">
        <v>1543.99</v>
      </c>
      <c r="J50" s="98">
        <v>0</v>
      </c>
      <c r="K50" s="98">
        <v>42</v>
      </c>
      <c r="L50" s="98">
        <v>2311.4</v>
      </c>
      <c r="M50" s="98">
        <v>3855.39</v>
      </c>
    </row>
    <row r="51" spans="1:13">
      <c r="A51" s="97" t="s">
        <v>463</v>
      </c>
      <c r="B51" s="98" t="s">
        <v>119</v>
      </c>
      <c r="C51" s="98" t="s">
        <v>464</v>
      </c>
      <c r="D51" s="98" t="s">
        <v>377</v>
      </c>
      <c r="E51" s="98">
        <v>100</v>
      </c>
      <c r="F51" s="98">
        <v>519.14</v>
      </c>
      <c r="G51" s="98">
        <v>7023.97</v>
      </c>
      <c r="H51" s="98">
        <v>17172.1</v>
      </c>
      <c r="I51" s="98">
        <v>17172.1</v>
      </c>
      <c r="J51" s="98">
        <v>0</v>
      </c>
      <c r="K51" s="98">
        <v>100</v>
      </c>
      <c r="L51" s="98">
        <v>5943.4</v>
      </c>
      <c r="M51" s="98">
        <v>23115.5</v>
      </c>
    </row>
    <row r="52" spans="1:13">
      <c r="A52" s="97" t="s">
        <v>463</v>
      </c>
      <c r="B52" s="98" t="s">
        <v>150</v>
      </c>
      <c r="C52" s="98" t="s">
        <v>464</v>
      </c>
      <c r="D52" s="98" t="s">
        <v>377</v>
      </c>
      <c r="E52" s="98">
        <v>119</v>
      </c>
      <c r="F52" s="98">
        <v>210.04</v>
      </c>
      <c r="G52" s="98">
        <v>10104.41</v>
      </c>
      <c r="H52" s="98">
        <v>13209.19</v>
      </c>
      <c r="I52" s="98">
        <v>13209.19</v>
      </c>
      <c r="J52" s="98">
        <v>0</v>
      </c>
      <c r="K52" s="98">
        <v>119</v>
      </c>
      <c r="L52" s="98">
        <v>7419.67</v>
      </c>
      <c r="M52" s="98">
        <v>20628.86</v>
      </c>
    </row>
    <row r="53" spans="1:13">
      <c r="A53" s="97" t="s">
        <v>463</v>
      </c>
      <c r="B53" s="98" t="s">
        <v>20</v>
      </c>
      <c r="C53" s="98" t="s">
        <v>464</v>
      </c>
      <c r="D53" s="98" t="s">
        <v>377</v>
      </c>
      <c r="E53" s="98">
        <v>1115</v>
      </c>
      <c r="F53" s="98">
        <v>2393.82</v>
      </c>
      <c r="G53" s="98">
        <v>81409.0500000001</v>
      </c>
      <c r="H53" s="98">
        <v>122224.97</v>
      </c>
      <c r="I53" s="98">
        <v>121484.95</v>
      </c>
      <c r="J53" s="98">
        <v>0</v>
      </c>
      <c r="K53" s="98">
        <v>1115</v>
      </c>
      <c r="L53" s="98">
        <v>69965.47</v>
      </c>
      <c r="M53" s="98">
        <v>191450.42</v>
      </c>
    </row>
    <row r="54" spans="1:13">
      <c r="A54" s="97" t="s">
        <v>463</v>
      </c>
      <c r="B54" s="98" t="s">
        <v>20</v>
      </c>
      <c r="C54" s="98" t="s">
        <v>464</v>
      </c>
      <c r="D54" s="98" t="s">
        <v>447</v>
      </c>
      <c r="E54" s="98">
        <v>13</v>
      </c>
      <c r="F54" s="98">
        <v>3.9</v>
      </c>
      <c r="G54" s="98">
        <v>689</v>
      </c>
      <c r="H54" s="98">
        <v>609.734513274337</v>
      </c>
      <c r="I54" s="98">
        <v>650</v>
      </c>
      <c r="J54" s="98">
        <v>0</v>
      </c>
      <c r="K54" s="98">
        <v>13</v>
      </c>
      <c r="L54" s="98">
        <v>260</v>
      </c>
      <c r="M54" s="98">
        <v>910</v>
      </c>
    </row>
    <row r="55" spans="1:13">
      <c r="A55" s="97" t="s">
        <v>463</v>
      </c>
      <c r="B55" s="103" t="s">
        <v>97</v>
      </c>
      <c r="C55" s="98" t="s">
        <v>464</v>
      </c>
      <c r="D55" s="98" t="s">
        <v>377</v>
      </c>
      <c r="E55" s="98">
        <v>33</v>
      </c>
      <c r="F55" s="98">
        <v>204.95</v>
      </c>
      <c r="G55" s="98">
        <v>4224.9</v>
      </c>
      <c r="H55" s="98">
        <v>7767.57</v>
      </c>
      <c r="I55" s="98">
        <v>7767.57</v>
      </c>
      <c r="J55" s="98">
        <v>0</v>
      </c>
      <c r="K55" s="98">
        <v>0</v>
      </c>
      <c r="L55" s="98">
        <v>0</v>
      </c>
      <c r="M55" s="98">
        <v>7767.57</v>
      </c>
    </row>
    <row r="56" spans="1:13">
      <c r="A56" s="97" t="s">
        <v>463</v>
      </c>
      <c r="B56" s="98" t="s">
        <v>168</v>
      </c>
      <c r="C56" s="98" t="s">
        <v>464</v>
      </c>
      <c r="D56" s="98" t="s">
        <v>377</v>
      </c>
      <c r="E56" s="98">
        <v>46</v>
      </c>
      <c r="F56" s="98">
        <v>127.4</v>
      </c>
      <c r="G56" s="98">
        <v>4609.04</v>
      </c>
      <c r="H56" s="98">
        <v>6922.11</v>
      </c>
      <c r="I56" s="98">
        <v>6922.11</v>
      </c>
      <c r="J56" s="98">
        <v>0</v>
      </c>
      <c r="K56" s="98">
        <v>46</v>
      </c>
      <c r="L56" s="98">
        <v>2632.12</v>
      </c>
      <c r="M56" s="98">
        <v>9554.23</v>
      </c>
    </row>
    <row r="57" spans="1:13">
      <c r="A57" s="97" t="s">
        <v>463</v>
      </c>
      <c r="B57" s="98" t="s">
        <v>29</v>
      </c>
      <c r="C57" s="98" t="s">
        <v>464</v>
      </c>
      <c r="D57" s="98" t="s">
        <v>377</v>
      </c>
      <c r="E57" s="98">
        <v>308</v>
      </c>
      <c r="F57" s="98">
        <v>731.37</v>
      </c>
      <c r="G57" s="98">
        <v>21149.38</v>
      </c>
      <c r="H57" s="98">
        <v>38228.04</v>
      </c>
      <c r="I57" s="98">
        <v>38228.04</v>
      </c>
      <c r="J57" s="98">
        <v>0</v>
      </c>
      <c r="K57" s="98">
        <v>308</v>
      </c>
      <c r="L57" s="98">
        <v>17679.52</v>
      </c>
      <c r="M57" s="98">
        <v>55907.56</v>
      </c>
    </row>
    <row r="58" spans="1:13">
      <c r="A58" s="97" t="s">
        <v>463</v>
      </c>
      <c r="B58" s="103" t="s">
        <v>29</v>
      </c>
      <c r="C58" s="98" t="s">
        <v>464</v>
      </c>
      <c r="D58" s="98" t="s">
        <v>445</v>
      </c>
      <c r="E58" s="98">
        <v>1</v>
      </c>
      <c r="F58" s="98">
        <v>7.87</v>
      </c>
      <c r="G58" s="98">
        <v>304.2</v>
      </c>
      <c r="H58" s="98">
        <v>360.796460176991</v>
      </c>
      <c r="I58" s="98">
        <v>316.55</v>
      </c>
      <c r="J58" s="98">
        <v>0</v>
      </c>
      <c r="K58" s="98">
        <v>1</v>
      </c>
      <c r="L58" s="98">
        <v>47.17</v>
      </c>
      <c r="M58" s="98">
        <v>363.72</v>
      </c>
    </row>
    <row r="59" spans="1:13">
      <c r="A59" s="97" t="s">
        <v>463</v>
      </c>
      <c r="B59" s="98" t="s">
        <v>69</v>
      </c>
      <c r="C59" s="98" t="s">
        <v>464</v>
      </c>
      <c r="D59" s="98" t="s">
        <v>377</v>
      </c>
      <c r="E59" s="98">
        <v>51</v>
      </c>
      <c r="F59" s="98">
        <v>475.69</v>
      </c>
      <c r="G59" s="98">
        <v>5250.74</v>
      </c>
      <c r="H59" s="98">
        <v>16048.01</v>
      </c>
      <c r="I59" s="98">
        <v>16048.01</v>
      </c>
      <c r="J59" s="98">
        <v>0</v>
      </c>
      <c r="K59" s="98">
        <v>51</v>
      </c>
      <c r="L59" s="98">
        <v>2665.25</v>
      </c>
      <c r="M59" s="98">
        <v>18713.26</v>
      </c>
    </row>
    <row r="60" spans="1:13">
      <c r="A60" s="97" t="s">
        <v>463</v>
      </c>
      <c r="B60" s="98" t="s">
        <v>105</v>
      </c>
      <c r="C60" s="98" t="s">
        <v>464</v>
      </c>
      <c r="D60" s="98" t="s">
        <v>377</v>
      </c>
      <c r="E60" s="98">
        <v>29</v>
      </c>
      <c r="F60" s="98">
        <v>26.72</v>
      </c>
      <c r="G60" s="98">
        <v>2004.83</v>
      </c>
      <c r="H60" s="98">
        <v>2135.62</v>
      </c>
      <c r="I60" s="98">
        <v>2135.62</v>
      </c>
      <c r="J60" s="98">
        <v>0</v>
      </c>
      <c r="K60" s="98">
        <v>29</v>
      </c>
      <c r="L60" s="98">
        <v>2032.89</v>
      </c>
      <c r="M60" s="98">
        <v>4168.51</v>
      </c>
    </row>
    <row r="61" spans="1:13">
      <c r="A61" s="97" t="s">
        <v>463</v>
      </c>
      <c r="B61" s="98" t="s">
        <v>62</v>
      </c>
      <c r="C61" s="98" t="s">
        <v>464</v>
      </c>
      <c r="D61" s="98" t="s">
        <v>377</v>
      </c>
      <c r="E61" s="98">
        <v>39</v>
      </c>
      <c r="F61" s="98">
        <v>181.66</v>
      </c>
      <c r="G61" s="98">
        <v>5921.04</v>
      </c>
      <c r="H61" s="98">
        <v>9405.25</v>
      </c>
      <c r="I61" s="98">
        <v>9405.25</v>
      </c>
      <c r="J61" s="98">
        <v>0</v>
      </c>
      <c r="K61" s="98">
        <v>39</v>
      </c>
      <c r="L61" s="98">
        <v>2382.05</v>
      </c>
      <c r="M61" s="98">
        <v>11787.3</v>
      </c>
    </row>
    <row r="62" spans="1:13">
      <c r="A62" s="97" t="s">
        <v>463</v>
      </c>
      <c r="B62" s="98" t="s">
        <v>127</v>
      </c>
      <c r="C62" s="98" t="s">
        <v>464</v>
      </c>
      <c r="D62" s="98" t="s">
        <v>377</v>
      </c>
      <c r="E62" s="98">
        <v>349</v>
      </c>
      <c r="F62" s="98">
        <v>955.91</v>
      </c>
      <c r="G62" s="98">
        <v>105412.82</v>
      </c>
      <c r="H62" s="98">
        <v>107398.21</v>
      </c>
      <c r="I62" s="98">
        <v>107020.09</v>
      </c>
      <c r="J62" s="98">
        <v>0</v>
      </c>
      <c r="K62" s="98">
        <v>349</v>
      </c>
      <c r="L62" s="98">
        <v>24635.17</v>
      </c>
      <c r="M62" s="98">
        <v>131655.26</v>
      </c>
    </row>
    <row r="63" spans="1:13">
      <c r="A63" s="97" t="s">
        <v>463</v>
      </c>
      <c r="B63" s="98" t="s">
        <v>59</v>
      </c>
      <c r="C63" s="98" t="s">
        <v>464</v>
      </c>
      <c r="D63" s="98" t="s">
        <v>377</v>
      </c>
      <c r="E63" s="98">
        <v>15</v>
      </c>
      <c r="F63" s="98">
        <v>30.74</v>
      </c>
      <c r="G63" s="98">
        <v>839.86</v>
      </c>
      <c r="H63" s="98">
        <v>1364.63</v>
      </c>
      <c r="I63" s="98">
        <v>1364.63</v>
      </c>
      <c r="J63" s="98">
        <v>0</v>
      </c>
      <c r="K63" s="98">
        <v>15</v>
      </c>
      <c r="L63" s="98">
        <v>778.35</v>
      </c>
      <c r="M63" s="98">
        <v>2142.98</v>
      </c>
    </row>
    <row r="64" spans="1:13">
      <c r="A64" s="97" t="s">
        <v>463</v>
      </c>
      <c r="B64" s="98" t="s">
        <v>84</v>
      </c>
      <c r="C64" s="98" t="s">
        <v>464</v>
      </c>
      <c r="D64" s="98" t="s">
        <v>377</v>
      </c>
      <c r="E64" s="98">
        <v>58</v>
      </c>
      <c r="F64" s="98">
        <v>364.66</v>
      </c>
      <c r="G64" s="98">
        <v>7683.5</v>
      </c>
      <c r="H64" s="98">
        <v>16033.6</v>
      </c>
      <c r="I64" s="98">
        <v>16033.6</v>
      </c>
      <c r="J64" s="98">
        <v>0</v>
      </c>
      <c r="K64" s="98">
        <v>58</v>
      </c>
      <c r="L64" s="98">
        <v>3103.92</v>
      </c>
      <c r="M64" s="98">
        <v>19137.52</v>
      </c>
    </row>
    <row r="65" spans="1:13">
      <c r="A65" s="97" t="s">
        <v>463</v>
      </c>
      <c r="B65" s="98" t="s">
        <v>60</v>
      </c>
      <c r="C65" s="98" t="s">
        <v>464</v>
      </c>
      <c r="D65" s="98" t="s">
        <v>377</v>
      </c>
      <c r="E65" s="98">
        <v>52</v>
      </c>
      <c r="F65" s="98">
        <v>408.27</v>
      </c>
      <c r="G65" s="98">
        <v>7288.65</v>
      </c>
      <c r="H65" s="98">
        <v>16042.27</v>
      </c>
      <c r="I65" s="98">
        <v>16042.27</v>
      </c>
      <c r="J65" s="98">
        <v>0</v>
      </c>
      <c r="K65" s="98">
        <v>52</v>
      </c>
      <c r="L65" s="98">
        <v>2811.44</v>
      </c>
      <c r="M65" s="98">
        <v>18853.71</v>
      </c>
    </row>
    <row r="66" spans="1:13">
      <c r="A66" s="97" t="s">
        <v>463</v>
      </c>
      <c r="B66" s="98" t="s">
        <v>40</v>
      </c>
      <c r="C66" s="98" t="s">
        <v>464</v>
      </c>
      <c r="D66" s="98" t="s">
        <v>377</v>
      </c>
      <c r="E66" s="98">
        <v>94</v>
      </c>
      <c r="F66" s="98">
        <v>756.31</v>
      </c>
      <c r="G66" s="98">
        <v>13580.24</v>
      </c>
      <c r="H66" s="98">
        <v>29866.88</v>
      </c>
      <c r="I66" s="98">
        <v>29866.88</v>
      </c>
      <c r="J66" s="98">
        <v>0</v>
      </c>
      <c r="K66" s="98">
        <v>94</v>
      </c>
      <c r="L66" s="98">
        <v>5669.78</v>
      </c>
      <c r="M66" s="98">
        <v>35536.66</v>
      </c>
    </row>
    <row r="67" spans="1:13">
      <c r="A67" s="97" t="s">
        <v>463</v>
      </c>
      <c r="B67" s="98" t="s">
        <v>40</v>
      </c>
      <c r="C67" s="98" t="s">
        <v>464</v>
      </c>
      <c r="D67" s="98" t="s">
        <v>446</v>
      </c>
      <c r="E67" s="98">
        <v>17</v>
      </c>
      <c r="F67" s="98">
        <v>115.19</v>
      </c>
      <c r="G67" s="98">
        <v>4039.68</v>
      </c>
      <c r="H67" s="98">
        <v>5677.07079646018</v>
      </c>
      <c r="I67" s="98">
        <v>4601.86</v>
      </c>
      <c r="J67" s="98">
        <v>0</v>
      </c>
      <c r="K67" s="98">
        <v>17</v>
      </c>
      <c r="L67" s="98">
        <v>1146.17</v>
      </c>
      <c r="M67" s="98">
        <v>5748.03</v>
      </c>
    </row>
    <row r="68" spans="1:13">
      <c r="A68" s="97" t="s">
        <v>463</v>
      </c>
      <c r="B68" s="98" t="s">
        <v>144</v>
      </c>
      <c r="C68" s="98" t="s">
        <v>464</v>
      </c>
      <c r="D68" s="98" t="s">
        <v>377</v>
      </c>
      <c r="E68" s="98">
        <v>158</v>
      </c>
      <c r="F68" s="98">
        <v>815.82</v>
      </c>
      <c r="G68" s="98">
        <v>18370.59</v>
      </c>
      <c r="H68" s="98">
        <v>34960.91</v>
      </c>
      <c r="I68" s="98">
        <v>34960.91</v>
      </c>
      <c r="J68" s="98">
        <v>0</v>
      </c>
      <c r="K68" s="98">
        <v>158</v>
      </c>
      <c r="L68" s="98">
        <v>8255.2</v>
      </c>
      <c r="M68" s="98">
        <v>43216.11</v>
      </c>
    </row>
    <row r="69" spans="1:13">
      <c r="A69" s="97" t="s">
        <v>463</v>
      </c>
      <c r="B69" s="98" t="s">
        <v>136</v>
      </c>
      <c r="C69" s="98" t="s">
        <v>464</v>
      </c>
      <c r="D69" s="98" t="s">
        <v>377</v>
      </c>
      <c r="E69" s="98">
        <v>94</v>
      </c>
      <c r="F69" s="98">
        <v>336.57</v>
      </c>
      <c r="G69" s="98">
        <v>6385.66</v>
      </c>
      <c r="H69" s="98">
        <v>12738.12</v>
      </c>
      <c r="I69" s="98">
        <v>12738.12</v>
      </c>
      <c r="J69" s="98">
        <v>0</v>
      </c>
      <c r="K69" s="98">
        <v>94</v>
      </c>
      <c r="L69" s="98">
        <v>4877.66</v>
      </c>
      <c r="M69" s="98">
        <v>17615.78</v>
      </c>
    </row>
    <row r="70" spans="1:13">
      <c r="A70" s="97" t="s">
        <v>463</v>
      </c>
      <c r="B70" s="98" t="s">
        <v>159</v>
      </c>
      <c r="C70" s="98" t="s">
        <v>464</v>
      </c>
      <c r="D70" s="98" t="s">
        <v>377</v>
      </c>
      <c r="E70" s="98">
        <v>11</v>
      </c>
      <c r="F70" s="98">
        <v>85.22</v>
      </c>
      <c r="G70" s="98">
        <v>2888.13</v>
      </c>
      <c r="H70" s="98">
        <v>4719.97</v>
      </c>
      <c r="I70" s="98">
        <v>4719.97</v>
      </c>
      <c r="J70" s="98">
        <v>0</v>
      </c>
      <c r="K70" s="98">
        <v>11</v>
      </c>
      <c r="L70" s="98">
        <v>570.79</v>
      </c>
      <c r="M70" s="98">
        <v>5290.76</v>
      </c>
    </row>
    <row r="71" spans="1:13">
      <c r="A71" s="97" t="s">
        <v>463</v>
      </c>
      <c r="B71" s="98" t="s">
        <v>166</v>
      </c>
      <c r="C71" s="98" t="s">
        <v>464</v>
      </c>
      <c r="D71" s="98" t="s">
        <v>377</v>
      </c>
      <c r="E71" s="98">
        <v>1</v>
      </c>
      <c r="F71" s="98">
        <v>2.3</v>
      </c>
      <c r="G71" s="98">
        <v>159.72</v>
      </c>
      <c r="H71" s="98">
        <v>206.43</v>
      </c>
      <c r="I71" s="98">
        <v>206.43</v>
      </c>
      <c r="J71" s="98">
        <v>0</v>
      </c>
      <c r="K71" s="98">
        <v>1</v>
      </c>
      <c r="L71" s="98">
        <v>51.89</v>
      </c>
      <c r="M71" s="98">
        <v>258.32</v>
      </c>
    </row>
    <row r="72" spans="1:13">
      <c r="A72" s="97" t="s">
        <v>463</v>
      </c>
      <c r="B72" s="98" t="s">
        <v>176</v>
      </c>
      <c r="C72" s="98" t="s">
        <v>464</v>
      </c>
      <c r="D72" s="98" t="s">
        <v>377</v>
      </c>
      <c r="E72" s="98">
        <v>38</v>
      </c>
      <c r="F72" s="98">
        <v>35.99</v>
      </c>
      <c r="G72" s="98">
        <v>2179.59</v>
      </c>
      <c r="H72" s="98">
        <v>2770.48</v>
      </c>
      <c r="I72" s="98">
        <v>2770.48</v>
      </c>
      <c r="J72" s="98">
        <v>0</v>
      </c>
      <c r="K72" s="98">
        <v>38</v>
      </c>
      <c r="L72" s="98">
        <v>2028.4</v>
      </c>
      <c r="M72" s="98">
        <v>4798.88</v>
      </c>
    </row>
    <row r="73" spans="1:13">
      <c r="A73" s="97" t="s">
        <v>463</v>
      </c>
      <c r="B73" s="98" t="s">
        <v>74</v>
      </c>
      <c r="C73" s="98" t="s">
        <v>464</v>
      </c>
      <c r="D73" s="98" t="s">
        <v>377</v>
      </c>
      <c r="E73" s="98">
        <v>29</v>
      </c>
      <c r="F73" s="98">
        <v>272.94</v>
      </c>
      <c r="G73" s="98">
        <v>3063.1</v>
      </c>
      <c r="H73" s="98">
        <v>9149.55</v>
      </c>
      <c r="I73" s="98">
        <v>9149.55</v>
      </c>
      <c r="J73" s="98">
        <v>0</v>
      </c>
      <c r="K73" s="98">
        <v>29</v>
      </c>
      <c r="L73" s="98">
        <v>1504.81</v>
      </c>
      <c r="M73" s="98">
        <v>10654.36</v>
      </c>
    </row>
    <row r="74" spans="1:13">
      <c r="A74" s="97" t="s">
        <v>463</v>
      </c>
      <c r="B74" s="98" t="s">
        <v>10</v>
      </c>
      <c r="C74" s="98" t="s">
        <v>464</v>
      </c>
      <c r="D74" s="98" t="s">
        <v>377</v>
      </c>
      <c r="E74" s="98">
        <v>60</v>
      </c>
      <c r="F74" s="98">
        <v>478.06</v>
      </c>
      <c r="G74" s="98">
        <v>10065.52</v>
      </c>
      <c r="H74" s="98">
        <v>19147.79</v>
      </c>
      <c r="I74" s="98">
        <v>19147.79</v>
      </c>
      <c r="J74" s="98">
        <v>0</v>
      </c>
      <c r="K74" s="98">
        <v>0</v>
      </c>
      <c r="L74" s="98">
        <v>0</v>
      </c>
      <c r="M74" s="98">
        <v>19147.79</v>
      </c>
    </row>
    <row r="75" spans="1:13">
      <c r="A75" s="97" t="s">
        <v>463</v>
      </c>
      <c r="B75" s="98" t="s">
        <v>10</v>
      </c>
      <c r="C75" s="98" t="s">
        <v>464</v>
      </c>
      <c r="D75" s="98" t="s">
        <v>437</v>
      </c>
      <c r="E75" s="98">
        <v>11</v>
      </c>
      <c r="F75" s="98">
        <v>41.43</v>
      </c>
      <c r="G75" s="98">
        <v>401.25</v>
      </c>
      <c r="H75" s="98">
        <v>3721.56637168142</v>
      </c>
      <c r="I75" s="98">
        <v>3265.44</v>
      </c>
      <c r="J75" s="98">
        <v>0</v>
      </c>
      <c r="K75" s="98">
        <v>0</v>
      </c>
      <c r="L75" s="98">
        <v>0</v>
      </c>
      <c r="M75" s="98">
        <v>3265.44</v>
      </c>
    </row>
    <row r="76" spans="1:13">
      <c r="A76" s="97" t="s">
        <v>463</v>
      </c>
      <c r="B76" s="98" t="s">
        <v>10</v>
      </c>
      <c r="C76" s="98" t="s">
        <v>464</v>
      </c>
      <c r="D76" s="98" t="s">
        <v>438</v>
      </c>
      <c r="E76" s="98">
        <v>1</v>
      </c>
      <c r="F76" s="98">
        <v>5.53</v>
      </c>
      <c r="G76" s="98">
        <v>101.06</v>
      </c>
      <c r="H76" s="98">
        <v>187.840707964602</v>
      </c>
      <c r="I76" s="98">
        <v>187.84</v>
      </c>
      <c r="J76" s="98">
        <v>0</v>
      </c>
      <c r="K76" s="98">
        <v>0</v>
      </c>
      <c r="L76" s="98">
        <v>0</v>
      </c>
      <c r="M76" s="98">
        <v>187.84</v>
      </c>
    </row>
    <row r="77" spans="1:13">
      <c r="A77" s="97" t="s">
        <v>463</v>
      </c>
      <c r="B77" s="98" t="s">
        <v>10</v>
      </c>
      <c r="C77" s="98" t="s">
        <v>464</v>
      </c>
      <c r="D77" s="98" t="s">
        <v>440</v>
      </c>
      <c r="E77" s="98">
        <v>1</v>
      </c>
      <c r="F77" s="98">
        <v>0.6</v>
      </c>
      <c r="G77" s="98">
        <v>27.7</v>
      </c>
      <c r="H77" s="98">
        <v>47.4513274336283</v>
      </c>
      <c r="I77" s="98">
        <v>47.45</v>
      </c>
      <c r="J77" s="98">
        <v>0</v>
      </c>
      <c r="K77" s="98">
        <v>0</v>
      </c>
      <c r="L77" s="98">
        <v>0</v>
      </c>
      <c r="M77" s="98">
        <v>47.45</v>
      </c>
    </row>
    <row r="78" spans="1:13">
      <c r="A78" s="97" t="s">
        <v>463</v>
      </c>
      <c r="B78" s="98" t="s">
        <v>10</v>
      </c>
      <c r="C78" s="98" t="s">
        <v>464</v>
      </c>
      <c r="D78" s="98" t="s">
        <v>446</v>
      </c>
      <c r="E78" s="98">
        <v>27</v>
      </c>
      <c r="F78" s="98">
        <v>82.06</v>
      </c>
      <c r="G78" s="98">
        <v>531.9</v>
      </c>
      <c r="H78" s="98">
        <v>1114.75221238938</v>
      </c>
      <c r="I78" s="98">
        <v>1114.74</v>
      </c>
      <c r="J78" s="98">
        <v>6557.03</v>
      </c>
      <c r="K78" s="98">
        <v>0</v>
      </c>
      <c r="L78" s="98">
        <v>0</v>
      </c>
      <c r="M78" s="98">
        <v>7671.77</v>
      </c>
    </row>
    <row r="79" spans="1:13">
      <c r="A79" s="97" t="s">
        <v>463</v>
      </c>
      <c r="B79" s="98" t="s">
        <v>10</v>
      </c>
      <c r="C79" s="98" t="s">
        <v>466</v>
      </c>
      <c r="D79" s="98" t="s">
        <v>438</v>
      </c>
      <c r="E79" s="98">
        <v>6</v>
      </c>
      <c r="F79" s="98">
        <v>2.1</v>
      </c>
      <c r="G79" s="98">
        <v>280.56</v>
      </c>
      <c r="H79" s="98">
        <v>248.283185840708</v>
      </c>
      <c r="I79" s="98">
        <v>248.28</v>
      </c>
      <c r="J79" s="98">
        <v>0</v>
      </c>
      <c r="K79" s="98">
        <v>0</v>
      </c>
      <c r="L79" s="98">
        <v>0</v>
      </c>
      <c r="M79" s="98">
        <v>248.28</v>
      </c>
    </row>
    <row r="80" spans="1:13">
      <c r="A80" s="97" t="s">
        <v>463</v>
      </c>
      <c r="B80" s="98" t="s">
        <v>10</v>
      </c>
      <c r="C80" s="98" t="s">
        <v>466</v>
      </c>
      <c r="D80" s="98" t="s">
        <v>444</v>
      </c>
      <c r="E80" s="98">
        <v>2</v>
      </c>
      <c r="F80" s="98">
        <v>2.77</v>
      </c>
      <c r="G80" s="98">
        <v>220</v>
      </c>
      <c r="H80" s="98">
        <v>194.690265486726</v>
      </c>
      <c r="I80" s="98">
        <v>194.69</v>
      </c>
      <c r="J80" s="98">
        <v>201.57</v>
      </c>
      <c r="K80" s="98">
        <v>0</v>
      </c>
      <c r="L80" s="98">
        <v>0</v>
      </c>
      <c r="M80" s="98">
        <v>396.26</v>
      </c>
    </row>
    <row r="81" spans="1:13">
      <c r="A81" s="97" t="s">
        <v>463</v>
      </c>
      <c r="B81" s="98" t="s">
        <v>25</v>
      </c>
      <c r="C81" s="98" t="s">
        <v>464</v>
      </c>
      <c r="D81" s="98" t="s">
        <v>377</v>
      </c>
      <c r="E81" s="98">
        <v>160</v>
      </c>
      <c r="F81" s="98">
        <v>1065.9</v>
      </c>
      <c r="G81" s="98">
        <v>19940.86</v>
      </c>
      <c r="H81" s="98">
        <v>41010.11</v>
      </c>
      <c r="I81" s="98">
        <v>41010.11</v>
      </c>
      <c r="J81" s="98">
        <v>0</v>
      </c>
      <c r="K81" s="98">
        <v>160</v>
      </c>
      <c r="L81" s="98">
        <v>10905.08</v>
      </c>
      <c r="M81" s="98">
        <v>51915.19</v>
      </c>
    </row>
    <row r="82" spans="1:13">
      <c r="A82" s="97" t="s">
        <v>463</v>
      </c>
      <c r="B82" s="98" t="s">
        <v>25</v>
      </c>
      <c r="C82" s="98" t="s">
        <v>464</v>
      </c>
      <c r="D82" s="98" t="s">
        <v>446</v>
      </c>
      <c r="E82" s="98">
        <v>31</v>
      </c>
      <c r="F82" s="98">
        <v>144.72</v>
      </c>
      <c r="G82" s="98">
        <v>5333.52</v>
      </c>
      <c r="H82" s="98">
        <v>7246.16814159292</v>
      </c>
      <c r="I82" s="98">
        <v>5604.57</v>
      </c>
      <c r="J82" s="98">
        <v>0</v>
      </c>
      <c r="K82" s="98">
        <v>25</v>
      </c>
      <c r="L82" s="98">
        <v>1749.89</v>
      </c>
      <c r="M82" s="98">
        <v>7354.46</v>
      </c>
    </row>
    <row r="83" spans="1:13">
      <c r="A83" s="97" t="s">
        <v>463</v>
      </c>
      <c r="B83" s="103" t="s">
        <v>25</v>
      </c>
      <c r="C83" s="98" t="s">
        <v>465</v>
      </c>
      <c r="D83" s="98" t="s">
        <v>377</v>
      </c>
      <c r="E83" s="98">
        <v>3</v>
      </c>
      <c r="F83" s="98">
        <v>6</v>
      </c>
      <c r="G83" s="98">
        <v>721.15</v>
      </c>
      <c r="H83" s="98">
        <v>817.43</v>
      </c>
      <c r="I83" s="98">
        <v>817.43</v>
      </c>
      <c r="J83" s="98">
        <v>0</v>
      </c>
      <c r="K83" s="98">
        <v>0</v>
      </c>
      <c r="L83" s="98">
        <v>0</v>
      </c>
      <c r="M83" s="98">
        <v>817.43</v>
      </c>
    </row>
    <row r="84" spans="1:13">
      <c r="A84" s="97" t="s">
        <v>463</v>
      </c>
      <c r="B84" s="98" t="s">
        <v>25</v>
      </c>
      <c r="C84" s="98" t="s">
        <v>465</v>
      </c>
      <c r="D84" s="98" t="s">
        <v>442</v>
      </c>
      <c r="E84" s="98">
        <v>2</v>
      </c>
      <c r="F84" s="98">
        <v>2.9</v>
      </c>
      <c r="G84" s="98">
        <v>7956.99</v>
      </c>
      <c r="H84" s="98">
        <v>7091.85840707965</v>
      </c>
      <c r="I84" s="98">
        <v>7091.86</v>
      </c>
      <c r="J84" s="98">
        <v>0</v>
      </c>
      <c r="K84" s="98">
        <v>0</v>
      </c>
      <c r="L84" s="98">
        <v>0</v>
      </c>
      <c r="M84" s="98">
        <v>7091.86</v>
      </c>
    </row>
    <row r="85" spans="1:13">
      <c r="A85" s="97" t="s">
        <v>463</v>
      </c>
      <c r="B85" s="98" t="s">
        <v>25</v>
      </c>
      <c r="C85" s="98" t="s">
        <v>466</v>
      </c>
      <c r="D85" s="98" t="s">
        <v>377</v>
      </c>
      <c r="E85" s="98">
        <v>5</v>
      </c>
      <c r="F85" s="98">
        <v>32.19</v>
      </c>
      <c r="G85" s="98">
        <v>879.44</v>
      </c>
      <c r="H85" s="98">
        <v>1374.4</v>
      </c>
      <c r="I85" s="98">
        <v>1374.4</v>
      </c>
      <c r="J85" s="98">
        <v>0</v>
      </c>
      <c r="K85" s="98">
        <v>5</v>
      </c>
      <c r="L85" s="98">
        <v>353.75</v>
      </c>
      <c r="M85" s="98">
        <v>1728.15</v>
      </c>
    </row>
    <row r="86" spans="1:13">
      <c r="A86" s="97" t="s">
        <v>463</v>
      </c>
      <c r="B86" s="98" t="s">
        <v>75</v>
      </c>
      <c r="C86" s="98" t="s">
        <v>464</v>
      </c>
      <c r="D86" s="98" t="s">
        <v>377</v>
      </c>
      <c r="E86" s="98">
        <v>24</v>
      </c>
      <c r="F86" s="98">
        <v>82.32</v>
      </c>
      <c r="G86" s="98">
        <v>1211.07</v>
      </c>
      <c r="H86" s="98">
        <v>2866.9</v>
      </c>
      <c r="I86" s="98">
        <v>2866.9</v>
      </c>
      <c r="J86" s="98">
        <v>0</v>
      </c>
      <c r="K86" s="98">
        <v>24</v>
      </c>
      <c r="L86" s="98">
        <v>1698</v>
      </c>
      <c r="M86" s="98">
        <v>4564.9</v>
      </c>
    </row>
    <row r="87" spans="1:13">
      <c r="A87" s="97" t="s">
        <v>463</v>
      </c>
      <c r="B87" s="98" t="s">
        <v>75</v>
      </c>
      <c r="C87" s="98" t="s">
        <v>466</v>
      </c>
      <c r="D87" s="98" t="s">
        <v>377</v>
      </c>
      <c r="E87" s="98">
        <v>5</v>
      </c>
      <c r="F87" s="98">
        <v>1.21</v>
      </c>
      <c r="G87" s="98">
        <v>339.11</v>
      </c>
      <c r="H87" s="98">
        <v>371.26</v>
      </c>
      <c r="I87" s="98">
        <v>371.26</v>
      </c>
      <c r="J87" s="98">
        <v>0</v>
      </c>
      <c r="K87" s="98">
        <v>5</v>
      </c>
      <c r="L87" s="98">
        <v>353.75</v>
      </c>
      <c r="M87" s="98">
        <v>725.01</v>
      </c>
    </row>
    <row r="88" spans="1:13">
      <c r="A88" s="97" t="s">
        <v>463</v>
      </c>
      <c r="B88" s="98" t="s">
        <v>57</v>
      </c>
      <c r="C88" s="98" t="s">
        <v>464</v>
      </c>
      <c r="D88" s="98" t="s">
        <v>377</v>
      </c>
      <c r="E88" s="98">
        <v>506</v>
      </c>
      <c r="F88" s="98">
        <v>2598.49</v>
      </c>
      <c r="G88" s="98">
        <v>63159.76</v>
      </c>
      <c r="H88" s="98">
        <v>111698.24</v>
      </c>
      <c r="I88" s="98">
        <v>111698.24</v>
      </c>
      <c r="J88" s="98">
        <v>0</v>
      </c>
      <c r="K88" s="98">
        <v>0</v>
      </c>
      <c r="L88" s="98">
        <v>0</v>
      </c>
      <c r="M88" s="98">
        <v>111698.24</v>
      </c>
    </row>
    <row r="89" spans="1:13">
      <c r="A89" s="97" t="s">
        <v>463</v>
      </c>
      <c r="B89" s="98" t="s">
        <v>57</v>
      </c>
      <c r="C89" s="98" t="s">
        <v>466</v>
      </c>
      <c r="D89" s="98" t="s">
        <v>377</v>
      </c>
      <c r="E89" s="98">
        <v>11</v>
      </c>
      <c r="F89" s="98">
        <v>94.33</v>
      </c>
      <c r="G89" s="98">
        <v>4690.77</v>
      </c>
      <c r="H89" s="98">
        <v>6043.12</v>
      </c>
      <c r="I89" s="98">
        <v>6043.12</v>
      </c>
      <c r="J89" s="98">
        <v>0</v>
      </c>
      <c r="K89" s="98">
        <v>0</v>
      </c>
      <c r="L89" s="98">
        <v>0</v>
      </c>
      <c r="M89" s="98">
        <v>6043.12</v>
      </c>
    </row>
    <row r="90" spans="1:13">
      <c r="A90" s="97" t="s">
        <v>463</v>
      </c>
      <c r="B90" s="98" t="s">
        <v>63</v>
      </c>
      <c r="C90" s="98" t="s">
        <v>464</v>
      </c>
      <c r="D90" s="98" t="s">
        <v>377</v>
      </c>
      <c r="E90" s="98">
        <v>75</v>
      </c>
      <c r="F90" s="98">
        <v>90.53</v>
      </c>
      <c r="G90" s="98">
        <v>5833.55</v>
      </c>
      <c r="H90" s="98">
        <v>6435.43</v>
      </c>
      <c r="I90" s="98">
        <v>6435.43</v>
      </c>
      <c r="J90" s="98">
        <v>0</v>
      </c>
      <c r="K90" s="98">
        <v>75</v>
      </c>
      <c r="L90" s="98">
        <v>5306.25</v>
      </c>
      <c r="M90" s="98">
        <v>11741.68</v>
      </c>
    </row>
    <row r="91" spans="1:13">
      <c r="A91" s="97" t="s">
        <v>463</v>
      </c>
      <c r="B91" s="98" t="s">
        <v>63</v>
      </c>
      <c r="C91" s="98" t="s">
        <v>466</v>
      </c>
      <c r="D91" s="98" t="s">
        <v>377</v>
      </c>
      <c r="E91" s="98">
        <v>6</v>
      </c>
      <c r="F91" s="98">
        <v>0.23</v>
      </c>
      <c r="G91" s="98">
        <v>537.27</v>
      </c>
      <c r="H91" s="98">
        <v>541.29</v>
      </c>
      <c r="I91" s="98">
        <v>541.29</v>
      </c>
      <c r="J91" s="98">
        <v>0</v>
      </c>
      <c r="K91" s="98">
        <v>6</v>
      </c>
      <c r="L91" s="98">
        <v>424.5</v>
      </c>
      <c r="M91" s="98">
        <v>965.79</v>
      </c>
    </row>
    <row r="92" spans="1:13">
      <c r="A92" s="97" t="s">
        <v>463</v>
      </c>
      <c r="B92" s="98" t="s">
        <v>24</v>
      </c>
      <c r="C92" s="98" t="s">
        <v>464</v>
      </c>
      <c r="D92" s="98" t="s">
        <v>377</v>
      </c>
      <c r="E92" s="98">
        <v>115</v>
      </c>
      <c r="F92" s="98">
        <v>440.95</v>
      </c>
      <c r="G92" s="98">
        <v>12690.01</v>
      </c>
      <c r="H92" s="98">
        <v>21993.92</v>
      </c>
      <c r="I92" s="98">
        <v>21993.92</v>
      </c>
      <c r="J92" s="98">
        <v>0</v>
      </c>
      <c r="K92" s="98">
        <v>115</v>
      </c>
      <c r="L92" s="98">
        <v>8079.67</v>
      </c>
      <c r="M92" s="98">
        <v>30073.59</v>
      </c>
    </row>
    <row r="93" spans="1:13">
      <c r="A93" s="97" t="s">
        <v>463</v>
      </c>
      <c r="B93" s="98" t="s">
        <v>24</v>
      </c>
      <c r="C93" s="98" t="s">
        <v>464</v>
      </c>
      <c r="D93" s="98" t="s">
        <v>436</v>
      </c>
      <c r="E93" s="98">
        <v>20</v>
      </c>
      <c r="F93" s="98">
        <v>45.68</v>
      </c>
      <c r="G93" s="98">
        <v>3350.36</v>
      </c>
      <c r="H93" s="98">
        <v>3812.83185840708</v>
      </c>
      <c r="I93" s="98">
        <v>3812.86</v>
      </c>
      <c r="J93" s="98">
        <v>0</v>
      </c>
      <c r="K93" s="98">
        <v>20</v>
      </c>
      <c r="L93" s="98">
        <v>1415</v>
      </c>
      <c r="M93" s="98">
        <v>5227.86</v>
      </c>
    </row>
    <row r="94" spans="1:13">
      <c r="A94" s="97" t="s">
        <v>463</v>
      </c>
      <c r="B94" s="98" t="s">
        <v>125</v>
      </c>
      <c r="C94" s="98" t="s">
        <v>464</v>
      </c>
      <c r="D94" s="98" t="s">
        <v>377</v>
      </c>
      <c r="E94" s="98">
        <v>4</v>
      </c>
      <c r="F94" s="98">
        <v>12.27</v>
      </c>
      <c r="G94" s="98">
        <v>1025.18</v>
      </c>
      <c r="H94" s="98">
        <v>1267.3</v>
      </c>
      <c r="I94" s="98">
        <v>1267.3</v>
      </c>
      <c r="J94" s="98">
        <v>0</v>
      </c>
      <c r="K94" s="98">
        <v>4</v>
      </c>
      <c r="L94" s="98">
        <v>207.56</v>
      </c>
      <c r="M94" s="98">
        <v>1474.86</v>
      </c>
    </row>
    <row r="95" spans="1:13">
      <c r="A95" s="97" t="s">
        <v>463</v>
      </c>
      <c r="B95" s="98" t="s">
        <v>88</v>
      </c>
      <c r="C95" s="98" t="s">
        <v>464</v>
      </c>
      <c r="D95" s="98" t="s">
        <v>377</v>
      </c>
      <c r="E95" s="98">
        <v>18</v>
      </c>
      <c r="F95" s="98">
        <v>8.75</v>
      </c>
      <c r="G95" s="98">
        <v>200.7</v>
      </c>
      <c r="H95" s="98">
        <v>379.78</v>
      </c>
      <c r="I95" s="98">
        <v>379.78</v>
      </c>
      <c r="J95" s="98">
        <v>0</v>
      </c>
      <c r="K95" s="98">
        <v>18</v>
      </c>
      <c r="L95" s="98">
        <v>1254.64</v>
      </c>
      <c r="M95" s="98">
        <v>1634.42</v>
      </c>
    </row>
    <row r="96" spans="1:13">
      <c r="A96" s="97" t="s">
        <v>463</v>
      </c>
      <c r="B96" s="98" t="s">
        <v>58</v>
      </c>
      <c r="C96" s="98" t="s">
        <v>464</v>
      </c>
      <c r="D96" s="98" t="s">
        <v>377</v>
      </c>
      <c r="E96" s="98">
        <v>22</v>
      </c>
      <c r="F96" s="98">
        <v>20.03</v>
      </c>
      <c r="G96" s="98">
        <v>342.69</v>
      </c>
      <c r="H96" s="98">
        <v>745.9</v>
      </c>
      <c r="I96" s="98">
        <v>745.9</v>
      </c>
      <c r="J96" s="98">
        <v>0</v>
      </c>
      <c r="K96" s="98">
        <v>22</v>
      </c>
      <c r="L96" s="98">
        <v>1556.5</v>
      </c>
      <c r="M96" s="98">
        <v>2302.4</v>
      </c>
    </row>
    <row r="97" spans="1:13">
      <c r="A97" s="97" t="s">
        <v>463</v>
      </c>
      <c r="B97" s="98" t="s">
        <v>17</v>
      </c>
      <c r="C97" s="98" t="s">
        <v>464</v>
      </c>
      <c r="D97" s="98" t="s">
        <v>377</v>
      </c>
      <c r="E97" s="98">
        <v>178</v>
      </c>
      <c r="F97" s="98">
        <v>1053.9</v>
      </c>
      <c r="G97" s="98">
        <v>25805.26</v>
      </c>
      <c r="H97" s="98">
        <v>47762.04</v>
      </c>
      <c r="I97" s="98">
        <v>47762.04</v>
      </c>
      <c r="J97" s="98">
        <v>0</v>
      </c>
      <c r="K97" s="98">
        <v>0</v>
      </c>
      <c r="L97" s="98">
        <v>0</v>
      </c>
      <c r="M97" s="98">
        <v>47762.04</v>
      </c>
    </row>
    <row r="98" spans="1:13">
      <c r="A98" s="97" t="s">
        <v>463</v>
      </c>
      <c r="B98" s="98" t="s">
        <v>17</v>
      </c>
      <c r="C98" s="98" t="s">
        <v>464</v>
      </c>
      <c r="D98" s="98" t="s">
        <v>441</v>
      </c>
      <c r="E98" s="98">
        <v>4</v>
      </c>
      <c r="F98" s="98">
        <v>22.77</v>
      </c>
      <c r="G98" s="98">
        <v>979.44</v>
      </c>
      <c r="H98" s="98">
        <v>1620.67256637168</v>
      </c>
      <c r="I98" s="98">
        <v>1620.67</v>
      </c>
      <c r="J98" s="98">
        <v>0</v>
      </c>
      <c r="K98" s="98">
        <v>4</v>
      </c>
      <c r="L98" s="98">
        <v>509.44</v>
      </c>
      <c r="M98" s="98">
        <v>2130.11</v>
      </c>
    </row>
    <row r="99" spans="1:13">
      <c r="A99" s="97" t="s">
        <v>463</v>
      </c>
      <c r="B99" s="98" t="s">
        <v>17</v>
      </c>
      <c r="C99" s="98" t="s">
        <v>464</v>
      </c>
      <c r="D99" s="98" t="s">
        <v>443</v>
      </c>
      <c r="E99" s="98">
        <v>29</v>
      </c>
      <c r="F99" s="98">
        <v>93.62</v>
      </c>
      <c r="G99" s="98">
        <v>3443.25</v>
      </c>
      <c r="H99" s="98">
        <v>4394.92920353982</v>
      </c>
      <c r="I99" s="98">
        <v>4394.89</v>
      </c>
      <c r="J99" s="98">
        <v>0</v>
      </c>
      <c r="K99" s="98">
        <v>29</v>
      </c>
      <c r="L99" s="98">
        <v>3443.41</v>
      </c>
      <c r="M99" s="98">
        <v>7838.3</v>
      </c>
    </row>
    <row r="100" spans="1:13">
      <c r="A100" s="97" t="s">
        <v>463</v>
      </c>
      <c r="B100" s="98" t="s">
        <v>17</v>
      </c>
      <c r="C100" s="98" t="s">
        <v>464</v>
      </c>
      <c r="D100" s="98" t="s">
        <v>446</v>
      </c>
      <c r="E100" s="98">
        <v>31</v>
      </c>
      <c r="F100" s="98">
        <v>164.31</v>
      </c>
      <c r="G100" s="98">
        <v>3268.87</v>
      </c>
      <c r="H100" s="98">
        <v>6015.70796460177</v>
      </c>
      <c r="I100" s="98">
        <v>6015.71</v>
      </c>
      <c r="J100" s="98">
        <v>119.7</v>
      </c>
      <c r="K100" s="98">
        <v>0</v>
      </c>
      <c r="L100" s="98">
        <v>0</v>
      </c>
      <c r="M100" s="98">
        <v>6135.41</v>
      </c>
    </row>
    <row r="101" spans="1:13">
      <c r="A101" s="97" t="s">
        <v>463</v>
      </c>
      <c r="B101" s="98" t="s">
        <v>17</v>
      </c>
      <c r="C101" s="98" t="s">
        <v>465</v>
      </c>
      <c r="D101" s="98" t="s">
        <v>377</v>
      </c>
      <c r="E101" s="98">
        <v>1</v>
      </c>
      <c r="F101" s="98">
        <v>1</v>
      </c>
      <c r="G101" s="98">
        <v>1041.34</v>
      </c>
      <c r="H101" s="98">
        <v>1053.38</v>
      </c>
      <c r="I101" s="98">
        <v>1053.38</v>
      </c>
      <c r="J101" s="98">
        <v>0</v>
      </c>
      <c r="K101" s="98">
        <v>0</v>
      </c>
      <c r="L101" s="98">
        <v>0</v>
      </c>
      <c r="M101" s="98">
        <v>1053.38</v>
      </c>
    </row>
    <row r="102" spans="1:13">
      <c r="A102" s="97" t="s">
        <v>463</v>
      </c>
      <c r="B102" s="98" t="s">
        <v>13</v>
      </c>
      <c r="C102" s="98" t="s">
        <v>464</v>
      </c>
      <c r="D102" s="98" t="s">
        <v>377</v>
      </c>
      <c r="E102" s="98">
        <v>102</v>
      </c>
      <c r="F102" s="98">
        <v>973.92</v>
      </c>
      <c r="G102" s="98">
        <v>13660.44</v>
      </c>
      <c r="H102" s="98">
        <v>34681.21</v>
      </c>
      <c r="I102" s="98">
        <v>34681.21</v>
      </c>
      <c r="J102" s="98">
        <v>2534.69</v>
      </c>
      <c r="K102" s="98">
        <v>0</v>
      </c>
      <c r="L102" s="98">
        <v>0</v>
      </c>
      <c r="M102" s="98">
        <v>37215.9</v>
      </c>
    </row>
    <row r="103" spans="1:13">
      <c r="A103" s="97" t="s">
        <v>463</v>
      </c>
      <c r="B103" s="98" t="s">
        <v>171</v>
      </c>
      <c r="C103" s="98" t="s">
        <v>464</v>
      </c>
      <c r="D103" s="98" t="s">
        <v>377</v>
      </c>
      <c r="E103" s="98">
        <v>55</v>
      </c>
      <c r="F103" s="98">
        <v>285.85</v>
      </c>
      <c r="G103" s="98">
        <v>11007.59</v>
      </c>
      <c r="H103" s="98">
        <v>16632.26</v>
      </c>
      <c r="I103" s="98">
        <v>16632.26</v>
      </c>
      <c r="J103" s="98">
        <v>0</v>
      </c>
      <c r="K103" s="98">
        <v>0</v>
      </c>
      <c r="L103" s="98">
        <v>0</v>
      </c>
      <c r="M103" s="98">
        <v>16632.26</v>
      </c>
    </row>
    <row r="104" spans="1:13">
      <c r="A104" s="97" t="s">
        <v>463</v>
      </c>
      <c r="B104" s="98" t="s">
        <v>163</v>
      </c>
      <c r="C104" s="98" t="s">
        <v>464</v>
      </c>
      <c r="D104" s="98" t="s">
        <v>446</v>
      </c>
      <c r="E104" s="98">
        <v>48</v>
      </c>
      <c r="F104" s="98">
        <v>180.28</v>
      </c>
      <c r="G104" s="98">
        <v>4898.18</v>
      </c>
      <c r="H104" s="98">
        <v>7839.98230088496</v>
      </c>
      <c r="I104" s="98">
        <v>5512.63</v>
      </c>
      <c r="J104" s="98">
        <v>0</v>
      </c>
      <c r="K104" s="98">
        <v>0</v>
      </c>
      <c r="L104" s="98">
        <v>0</v>
      </c>
      <c r="M104" s="98">
        <v>5512.63</v>
      </c>
    </row>
    <row r="105" spans="1:13">
      <c r="A105" s="97" t="s">
        <v>463</v>
      </c>
      <c r="B105" s="98" t="s">
        <v>15</v>
      </c>
      <c r="C105" s="98" t="s">
        <v>464</v>
      </c>
      <c r="D105" s="98" t="s">
        <v>377</v>
      </c>
      <c r="E105" s="98">
        <v>174</v>
      </c>
      <c r="F105" s="98">
        <v>1759.91</v>
      </c>
      <c r="G105" s="98">
        <v>28288.72</v>
      </c>
      <c r="H105" s="98">
        <v>65932.08</v>
      </c>
      <c r="I105" s="98">
        <v>65932.08</v>
      </c>
      <c r="J105" s="98">
        <v>0</v>
      </c>
      <c r="K105" s="98">
        <v>0</v>
      </c>
      <c r="L105" s="98">
        <v>0</v>
      </c>
      <c r="M105" s="98">
        <v>65932.08</v>
      </c>
    </row>
    <row r="106" spans="1:13">
      <c r="A106" s="97" t="s">
        <v>463</v>
      </c>
      <c r="B106" s="98" t="s">
        <v>15</v>
      </c>
      <c r="C106" s="98" t="s">
        <v>464</v>
      </c>
      <c r="D106" s="98" t="s">
        <v>437</v>
      </c>
      <c r="E106" s="98">
        <v>1</v>
      </c>
      <c r="F106" s="98">
        <v>10.25</v>
      </c>
      <c r="G106" s="98">
        <v>69.75</v>
      </c>
      <c r="H106" s="98">
        <v>716.380530973451</v>
      </c>
      <c r="I106" s="98">
        <v>440.07</v>
      </c>
      <c r="J106" s="98">
        <v>0</v>
      </c>
      <c r="K106" s="98">
        <v>0</v>
      </c>
      <c r="L106" s="98">
        <v>0</v>
      </c>
      <c r="M106" s="98">
        <v>440.07</v>
      </c>
    </row>
    <row r="107" spans="1:13">
      <c r="A107" s="97" t="s">
        <v>463</v>
      </c>
      <c r="B107" s="98" t="s">
        <v>15</v>
      </c>
      <c r="C107" s="98" t="s">
        <v>464</v>
      </c>
      <c r="D107" s="98" t="s">
        <v>446</v>
      </c>
      <c r="E107" s="98">
        <v>146</v>
      </c>
      <c r="F107" s="98">
        <v>611.67</v>
      </c>
      <c r="G107" s="98">
        <v>11575.11</v>
      </c>
      <c r="H107" s="98">
        <v>22300.4867256637</v>
      </c>
      <c r="I107" s="98">
        <v>20625.77</v>
      </c>
      <c r="J107" s="98">
        <v>0</v>
      </c>
      <c r="K107" s="98">
        <v>0</v>
      </c>
      <c r="L107" s="98">
        <v>0</v>
      </c>
      <c r="M107" s="98">
        <v>20625.77</v>
      </c>
    </row>
    <row r="108" spans="1:13">
      <c r="A108" s="97" t="s">
        <v>463</v>
      </c>
      <c r="B108" s="98" t="s">
        <v>173</v>
      </c>
      <c r="C108" s="98" t="s">
        <v>464</v>
      </c>
      <c r="D108" s="98" t="s">
        <v>446</v>
      </c>
      <c r="E108" s="98">
        <v>23</v>
      </c>
      <c r="F108" s="98">
        <v>121.72</v>
      </c>
      <c r="G108" s="98">
        <v>3574.33</v>
      </c>
      <c r="H108" s="98">
        <v>5394.30088495575</v>
      </c>
      <c r="I108" s="98">
        <v>5394.33</v>
      </c>
      <c r="J108" s="98">
        <v>0</v>
      </c>
      <c r="K108" s="98">
        <v>0</v>
      </c>
      <c r="L108" s="98">
        <v>0</v>
      </c>
      <c r="M108" s="98">
        <v>5394.33</v>
      </c>
    </row>
    <row r="109" spans="1:13">
      <c r="A109" s="97" t="s">
        <v>463</v>
      </c>
      <c r="B109" s="98" t="s">
        <v>173</v>
      </c>
      <c r="C109" s="98" t="s">
        <v>465</v>
      </c>
      <c r="D109" s="98" t="s">
        <v>377</v>
      </c>
      <c r="E109" s="98">
        <v>4</v>
      </c>
      <c r="F109" s="98">
        <v>9</v>
      </c>
      <c r="G109" s="98">
        <v>1060.09</v>
      </c>
      <c r="H109" s="98">
        <v>1252.65</v>
      </c>
      <c r="I109" s="98">
        <v>1252.65</v>
      </c>
      <c r="J109" s="98">
        <v>0</v>
      </c>
      <c r="K109" s="98">
        <v>0</v>
      </c>
      <c r="L109" s="98">
        <v>0</v>
      </c>
      <c r="M109" s="98">
        <v>1252.65</v>
      </c>
    </row>
    <row r="110" spans="1:13">
      <c r="A110" s="97" t="s">
        <v>463</v>
      </c>
      <c r="B110" s="98" t="s">
        <v>173</v>
      </c>
      <c r="C110" s="98" t="s">
        <v>466</v>
      </c>
      <c r="D110" s="98" t="s">
        <v>377</v>
      </c>
      <c r="E110" s="98">
        <v>11</v>
      </c>
      <c r="F110" s="98">
        <v>79.39</v>
      </c>
      <c r="G110" s="98">
        <v>3838.56</v>
      </c>
      <c r="H110" s="98">
        <v>4936.14</v>
      </c>
      <c r="I110" s="98">
        <v>4936.14</v>
      </c>
      <c r="J110" s="98">
        <v>0</v>
      </c>
      <c r="K110" s="98">
        <v>0</v>
      </c>
      <c r="L110" s="98">
        <v>0</v>
      </c>
      <c r="M110" s="98">
        <v>4936.14</v>
      </c>
    </row>
    <row r="111" spans="1:13">
      <c r="A111" s="97" t="s">
        <v>463</v>
      </c>
      <c r="B111" s="98" t="s">
        <v>49</v>
      </c>
      <c r="C111" s="98" t="s">
        <v>464</v>
      </c>
      <c r="D111" s="98" t="s">
        <v>377</v>
      </c>
      <c r="E111" s="98">
        <v>117</v>
      </c>
      <c r="F111" s="98">
        <v>1287.18</v>
      </c>
      <c r="G111" s="98">
        <v>12931.19</v>
      </c>
      <c r="H111" s="98">
        <v>42651.43</v>
      </c>
      <c r="I111" s="98">
        <v>42651.43</v>
      </c>
      <c r="J111" s="98">
        <v>0</v>
      </c>
      <c r="K111" s="98">
        <v>117</v>
      </c>
      <c r="L111" s="98">
        <v>6259.73</v>
      </c>
      <c r="M111" s="98">
        <v>48911.16</v>
      </c>
    </row>
    <row r="112" spans="1:13">
      <c r="A112" s="97" t="s">
        <v>463</v>
      </c>
      <c r="B112" s="98" t="s">
        <v>42</v>
      </c>
      <c r="C112" s="98" t="s">
        <v>464</v>
      </c>
      <c r="D112" s="98" t="s">
        <v>377</v>
      </c>
      <c r="E112" s="98">
        <v>286</v>
      </c>
      <c r="F112" s="98">
        <v>722.49</v>
      </c>
      <c r="G112" s="98">
        <v>23918.51</v>
      </c>
      <c r="H112" s="98">
        <v>40496.98</v>
      </c>
      <c r="I112" s="98">
        <v>40496.98</v>
      </c>
      <c r="J112" s="98">
        <v>0</v>
      </c>
      <c r="K112" s="98">
        <v>286</v>
      </c>
      <c r="L112" s="98">
        <v>17763.84</v>
      </c>
      <c r="M112" s="98">
        <v>58260.82</v>
      </c>
    </row>
    <row r="113" spans="1:13">
      <c r="A113" s="97" t="s">
        <v>463</v>
      </c>
      <c r="B113" s="98" t="s">
        <v>91</v>
      </c>
      <c r="C113" s="98" t="s">
        <v>464</v>
      </c>
      <c r="D113" s="98" t="s">
        <v>377</v>
      </c>
      <c r="E113" s="98">
        <v>389</v>
      </c>
      <c r="F113" s="98">
        <v>708.98</v>
      </c>
      <c r="G113" s="98">
        <v>25592.13</v>
      </c>
      <c r="H113" s="98">
        <v>37055.05</v>
      </c>
      <c r="I113" s="98">
        <v>37055.05</v>
      </c>
      <c r="J113" s="98">
        <v>0</v>
      </c>
      <c r="K113" s="98">
        <v>389</v>
      </c>
      <c r="L113" s="98">
        <v>23240.53</v>
      </c>
      <c r="M113" s="98">
        <v>60295.58</v>
      </c>
    </row>
    <row r="114" spans="1:13">
      <c r="A114" s="97" t="s">
        <v>463</v>
      </c>
      <c r="B114" s="98" t="s">
        <v>133</v>
      </c>
      <c r="C114" s="98" t="s">
        <v>464</v>
      </c>
      <c r="D114" s="98" t="s">
        <v>377</v>
      </c>
      <c r="E114" s="98">
        <v>175</v>
      </c>
      <c r="F114" s="98">
        <v>228.84</v>
      </c>
      <c r="G114" s="98">
        <v>11350.5</v>
      </c>
      <c r="H114" s="98">
        <v>14234.82</v>
      </c>
      <c r="I114" s="98">
        <v>14234.82</v>
      </c>
      <c r="J114" s="98">
        <v>0</v>
      </c>
      <c r="K114" s="98">
        <v>175</v>
      </c>
      <c r="L114" s="98">
        <v>11249.65</v>
      </c>
      <c r="M114" s="98">
        <v>25484.47</v>
      </c>
    </row>
    <row r="115" spans="1:13">
      <c r="A115" s="97" t="s">
        <v>463</v>
      </c>
      <c r="B115" s="98" t="s">
        <v>123</v>
      </c>
      <c r="C115" s="98" t="s">
        <v>464</v>
      </c>
      <c r="D115" s="98" t="s">
        <v>377</v>
      </c>
      <c r="E115" s="98">
        <v>16</v>
      </c>
      <c r="F115" s="98">
        <v>149.15</v>
      </c>
      <c r="G115" s="98">
        <v>5279.96</v>
      </c>
      <c r="H115" s="98">
        <v>8259.27</v>
      </c>
      <c r="I115" s="98">
        <v>8259.27</v>
      </c>
      <c r="J115" s="98">
        <v>0</v>
      </c>
      <c r="K115" s="98">
        <v>16</v>
      </c>
      <c r="L115" s="98">
        <v>830.24</v>
      </c>
      <c r="M115" s="98">
        <v>9089.51</v>
      </c>
    </row>
    <row r="116" spans="1:13">
      <c r="A116" s="97" t="s">
        <v>463</v>
      </c>
      <c r="B116" s="98" t="s">
        <v>160</v>
      </c>
      <c r="C116" s="98" t="s">
        <v>464</v>
      </c>
      <c r="D116" s="98" t="s">
        <v>377</v>
      </c>
      <c r="E116" s="98">
        <v>58</v>
      </c>
      <c r="F116" s="98">
        <v>137.33</v>
      </c>
      <c r="G116" s="98">
        <v>6265.55</v>
      </c>
      <c r="H116" s="98">
        <v>8579.38</v>
      </c>
      <c r="I116" s="98">
        <v>8579.38</v>
      </c>
      <c r="J116" s="98">
        <v>0</v>
      </c>
      <c r="K116" s="98">
        <v>58</v>
      </c>
      <c r="L116" s="98">
        <v>3009.62</v>
      </c>
      <c r="M116" s="98">
        <v>11589</v>
      </c>
    </row>
    <row r="117" spans="1:13">
      <c r="A117" s="97" t="s">
        <v>463</v>
      </c>
      <c r="B117" s="98" t="s">
        <v>65</v>
      </c>
      <c r="C117" s="98" t="s">
        <v>464</v>
      </c>
      <c r="D117" s="98" t="s">
        <v>377</v>
      </c>
      <c r="E117" s="98">
        <v>106</v>
      </c>
      <c r="F117" s="98">
        <v>613.42</v>
      </c>
      <c r="G117" s="98">
        <v>13464.29</v>
      </c>
      <c r="H117" s="98">
        <v>26064.12</v>
      </c>
      <c r="I117" s="98">
        <v>26064.12</v>
      </c>
      <c r="J117" s="98">
        <v>0</v>
      </c>
      <c r="K117" s="98">
        <v>106</v>
      </c>
      <c r="L117" s="98">
        <v>5670.08</v>
      </c>
      <c r="M117" s="98">
        <v>31734.2</v>
      </c>
    </row>
    <row r="118" spans="1:13">
      <c r="A118" s="97" t="s">
        <v>463</v>
      </c>
      <c r="B118" s="98" t="s">
        <v>72</v>
      </c>
      <c r="C118" s="98" t="s">
        <v>464</v>
      </c>
      <c r="D118" s="98" t="s">
        <v>377</v>
      </c>
      <c r="E118" s="98">
        <v>5</v>
      </c>
      <c r="F118" s="98">
        <v>32.45</v>
      </c>
      <c r="G118" s="98">
        <v>437.98</v>
      </c>
      <c r="H118" s="98">
        <v>1067.03</v>
      </c>
      <c r="I118" s="98">
        <v>1067.03</v>
      </c>
      <c r="J118" s="98">
        <v>0</v>
      </c>
      <c r="K118" s="98">
        <v>5</v>
      </c>
      <c r="L118" s="98">
        <v>353.75</v>
      </c>
      <c r="M118" s="98">
        <v>1420.78</v>
      </c>
    </row>
    <row r="119" spans="1:13">
      <c r="A119" s="97" t="s">
        <v>463</v>
      </c>
      <c r="B119" s="98" t="s">
        <v>22</v>
      </c>
      <c r="C119" s="98" t="s">
        <v>464</v>
      </c>
      <c r="D119" s="98" t="s">
        <v>377</v>
      </c>
      <c r="E119" s="98">
        <v>9</v>
      </c>
      <c r="F119" s="98">
        <v>65.83</v>
      </c>
      <c r="G119" s="98">
        <v>819.2</v>
      </c>
      <c r="H119" s="98">
        <v>2368.5</v>
      </c>
      <c r="I119" s="98">
        <v>2368.5</v>
      </c>
      <c r="J119" s="98">
        <v>0</v>
      </c>
      <c r="K119" s="98">
        <v>9</v>
      </c>
      <c r="L119" s="98">
        <v>467.01</v>
      </c>
      <c r="M119" s="98">
        <v>2835.51</v>
      </c>
    </row>
    <row r="120" spans="1:13">
      <c r="A120" s="97" t="s">
        <v>463</v>
      </c>
      <c r="B120" s="98" t="s">
        <v>154</v>
      </c>
      <c r="C120" s="98" t="s">
        <v>464</v>
      </c>
      <c r="D120" s="98" t="s">
        <v>377</v>
      </c>
      <c r="E120" s="98">
        <v>133</v>
      </c>
      <c r="F120" s="98">
        <v>618.39</v>
      </c>
      <c r="G120" s="98">
        <v>10683.57</v>
      </c>
      <c r="H120" s="98">
        <v>22860.85</v>
      </c>
      <c r="I120" s="98">
        <v>22860.85</v>
      </c>
      <c r="J120" s="98">
        <v>0</v>
      </c>
      <c r="K120" s="98">
        <v>133</v>
      </c>
      <c r="L120" s="98">
        <v>7542.61</v>
      </c>
      <c r="M120" s="98">
        <v>30403.46</v>
      </c>
    </row>
    <row r="121" spans="1:13">
      <c r="A121" s="97" t="s">
        <v>463</v>
      </c>
      <c r="B121" s="98" t="s">
        <v>64</v>
      </c>
      <c r="C121" s="98" t="s">
        <v>464</v>
      </c>
      <c r="D121" s="98" t="s">
        <v>377</v>
      </c>
      <c r="E121" s="98">
        <v>45</v>
      </c>
      <c r="F121" s="98">
        <v>428.65</v>
      </c>
      <c r="G121" s="98">
        <v>10566.98</v>
      </c>
      <c r="H121" s="98">
        <v>19251.91</v>
      </c>
      <c r="I121" s="98">
        <v>19251.91</v>
      </c>
      <c r="J121" s="98">
        <v>0</v>
      </c>
      <c r="K121" s="98">
        <v>45</v>
      </c>
      <c r="L121" s="98">
        <v>2335.05</v>
      </c>
      <c r="M121" s="98">
        <v>21586.96</v>
      </c>
    </row>
    <row r="122" spans="1:13">
      <c r="A122" s="97" t="s">
        <v>463</v>
      </c>
      <c r="B122" s="98" t="s">
        <v>48</v>
      </c>
      <c r="C122" s="98" t="s">
        <v>464</v>
      </c>
      <c r="D122" s="98" t="s">
        <v>377</v>
      </c>
      <c r="E122" s="98">
        <v>630</v>
      </c>
      <c r="F122" s="98">
        <v>1604.43</v>
      </c>
      <c r="G122" s="98">
        <v>34125.18</v>
      </c>
      <c r="H122" s="98">
        <v>68938.39</v>
      </c>
      <c r="I122" s="98">
        <v>68938.39</v>
      </c>
      <c r="J122" s="98">
        <v>0</v>
      </c>
      <c r="K122" s="98">
        <v>630</v>
      </c>
      <c r="L122" s="98">
        <v>38084.66</v>
      </c>
      <c r="M122" s="98">
        <v>107023.05</v>
      </c>
    </row>
    <row r="123" spans="1:13">
      <c r="A123" s="97" t="s">
        <v>463</v>
      </c>
      <c r="B123" s="98" t="s">
        <v>48</v>
      </c>
      <c r="C123" s="98" t="s">
        <v>464</v>
      </c>
      <c r="D123" s="98" t="s">
        <v>439</v>
      </c>
      <c r="E123" s="98">
        <v>2</v>
      </c>
      <c r="F123" s="98">
        <v>6.58</v>
      </c>
      <c r="G123" s="98">
        <v>99.01</v>
      </c>
      <c r="H123" s="98">
        <v>228.575221238938</v>
      </c>
      <c r="I123" s="98">
        <v>228.57</v>
      </c>
      <c r="J123" s="98">
        <v>0</v>
      </c>
      <c r="K123" s="98">
        <v>2</v>
      </c>
      <c r="L123" s="98">
        <v>283.02</v>
      </c>
      <c r="M123" s="98">
        <v>511.59</v>
      </c>
    </row>
    <row r="124" spans="1:13">
      <c r="A124" s="97" t="s">
        <v>463</v>
      </c>
      <c r="B124" s="98" t="s">
        <v>48</v>
      </c>
      <c r="C124" s="98" t="s">
        <v>464</v>
      </c>
      <c r="D124" s="98" t="s">
        <v>443</v>
      </c>
      <c r="E124" s="98">
        <v>87</v>
      </c>
      <c r="F124" s="98">
        <v>644.1</v>
      </c>
      <c r="G124" s="98">
        <v>4873.29</v>
      </c>
      <c r="H124" s="98">
        <v>9867.99115044248</v>
      </c>
      <c r="I124" s="98">
        <v>9867.99</v>
      </c>
      <c r="J124" s="98">
        <v>0</v>
      </c>
      <c r="K124" s="98">
        <v>87</v>
      </c>
      <c r="L124" s="98">
        <v>4127.37</v>
      </c>
      <c r="M124" s="98">
        <v>13995.36</v>
      </c>
    </row>
    <row r="125" spans="1:13">
      <c r="A125" s="97" t="s">
        <v>463</v>
      </c>
      <c r="B125" s="98" t="s">
        <v>48</v>
      </c>
      <c r="C125" s="98" t="s">
        <v>464</v>
      </c>
      <c r="D125" s="98" t="s">
        <v>446</v>
      </c>
      <c r="E125" s="98">
        <v>7</v>
      </c>
      <c r="F125" s="98">
        <v>18.06</v>
      </c>
      <c r="G125" s="98">
        <v>655.29</v>
      </c>
      <c r="H125" s="98">
        <v>1004.81415929204</v>
      </c>
      <c r="I125" s="98">
        <v>664.1</v>
      </c>
      <c r="J125" s="98">
        <v>0</v>
      </c>
      <c r="K125" s="98">
        <v>7</v>
      </c>
      <c r="L125" s="98">
        <v>363.23</v>
      </c>
      <c r="M125" s="98">
        <v>1027.33</v>
      </c>
    </row>
    <row r="126" spans="1:13">
      <c r="A126" s="97" t="s">
        <v>463</v>
      </c>
      <c r="B126" s="98" t="s">
        <v>48</v>
      </c>
      <c r="C126" s="98" t="s">
        <v>465</v>
      </c>
      <c r="D126" s="98" t="s">
        <v>448</v>
      </c>
      <c r="E126" s="98">
        <v>1</v>
      </c>
      <c r="F126" s="98">
        <v>1.5</v>
      </c>
      <c r="G126" s="98">
        <v>705.89</v>
      </c>
      <c r="H126" s="98">
        <v>663.619469026549</v>
      </c>
      <c r="I126" s="98">
        <v>663.62</v>
      </c>
      <c r="J126" s="98">
        <v>0</v>
      </c>
      <c r="K126" s="98">
        <v>0</v>
      </c>
      <c r="L126" s="98">
        <v>0</v>
      </c>
      <c r="M126" s="98">
        <v>663.62</v>
      </c>
    </row>
    <row r="127" spans="1:13">
      <c r="A127" s="97" t="s">
        <v>463</v>
      </c>
      <c r="B127" s="98" t="s">
        <v>47</v>
      </c>
      <c r="C127" s="98" t="s">
        <v>464</v>
      </c>
      <c r="D127" s="98" t="s">
        <v>377</v>
      </c>
      <c r="E127" s="98">
        <v>291</v>
      </c>
      <c r="F127" s="98">
        <v>1981.35</v>
      </c>
      <c r="G127" s="98">
        <v>35989.5</v>
      </c>
      <c r="H127" s="98">
        <v>79244.29</v>
      </c>
      <c r="I127" s="98">
        <v>79244.29</v>
      </c>
      <c r="J127" s="98">
        <v>0</v>
      </c>
      <c r="K127" s="98">
        <v>0</v>
      </c>
      <c r="L127" s="98">
        <v>0</v>
      </c>
      <c r="M127" s="98">
        <v>79244.29</v>
      </c>
    </row>
    <row r="128" spans="1:13">
      <c r="A128" s="97" t="s">
        <v>463</v>
      </c>
      <c r="B128" s="98" t="s">
        <v>134</v>
      </c>
      <c r="C128" s="98" t="s">
        <v>464</v>
      </c>
      <c r="D128" s="98" t="s">
        <v>377</v>
      </c>
      <c r="E128" s="98">
        <v>1</v>
      </c>
      <c r="F128" s="98">
        <v>23.23</v>
      </c>
      <c r="G128" s="98">
        <v>1121.26</v>
      </c>
      <c r="H128" s="98">
        <v>1596.94</v>
      </c>
      <c r="I128" s="98">
        <v>1596.94</v>
      </c>
      <c r="J128" s="98">
        <v>0</v>
      </c>
      <c r="K128" s="98">
        <v>1</v>
      </c>
      <c r="L128" s="98">
        <v>51.89</v>
      </c>
      <c r="M128" s="98">
        <v>1648.83</v>
      </c>
    </row>
    <row r="129" spans="1:13">
      <c r="A129" s="97" t="s">
        <v>463</v>
      </c>
      <c r="B129" s="98" t="s">
        <v>94</v>
      </c>
      <c r="C129" s="98" t="s">
        <v>464</v>
      </c>
      <c r="D129" s="98" t="s">
        <v>377</v>
      </c>
      <c r="E129" s="98">
        <v>1</v>
      </c>
      <c r="F129" s="98">
        <v>1.05</v>
      </c>
      <c r="G129" s="98">
        <v>68.66</v>
      </c>
      <c r="H129" s="98">
        <v>75.67</v>
      </c>
      <c r="I129" s="98">
        <v>75.67</v>
      </c>
      <c r="J129" s="98">
        <v>0</v>
      </c>
      <c r="K129" s="98">
        <v>1</v>
      </c>
      <c r="L129" s="98">
        <v>70.75</v>
      </c>
      <c r="M129" s="98">
        <v>146.42</v>
      </c>
    </row>
    <row r="130" spans="1:13">
      <c r="A130" s="97" t="s">
        <v>463</v>
      </c>
      <c r="B130" s="98" t="s">
        <v>38</v>
      </c>
      <c r="C130" s="98" t="s">
        <v>464</v>
      </c>
      <c r="D130" s="98" t="s">
        <v>377</v>
      </c>
      <c r="E130" s="98">
        <v>35</v>
      </c>
      <c r="F130" s="98">
        <v>270.75</v>
      </c>
      <c r="G130" s="98">
        <v>4511.59</v>
      </c>
      <c r="H130" s="98">
        <v>10601.08</v>
      </c>
      <c r="I130" s="98">
        <v>10601.08</v>
      </c>
      <c r="J130" s="98">
        <v>0</v>
      </c>
      <c r="K130" s="98">
        <v>35</v>
      </c>
      <c r="L130" s="98">
        <v>1835.01</v>
      </c>
      <c r="M130" s="98">
        <v>12436.09</v>
      </c>
    </row>
    <row r="131" spans="1:13">
      <c r="A131" s="97" t="s">
        <v>463</v>
      </c>
      <c r="B131" s="98" t="s">
        <v>71</v>
      </c>
      <c r="C131" s="98" t="s">
        <v>464</v>
      </c>
      <c r="D131" s="98" t="s">
        <v>377</v>
      </c>
      <c r="E131" s="98">
        <v>29</v>
      </c>
      <c r="F131" s="98">
        <v>145.52</v>
      </c>
      <c r="G131" s="98">
        <v>3063.33</v>
      </c>
      <c r="H131" s="98">
        <v>6192.24</v>
      </c>
      <c r="I131" s="98">
        <v>6192.24</v>
      </c>
      <c r="J131" s="98">
        <v>0</v>
      </c>
      <c r="K131" s="98">
        <v>29</v>
      </c>
      <c r="L131" s="98">
        <v>1561.39</v>
      </c>
      <c r="M131" s="98">
        <v>7753.63</v>
      </c>
    </row>
    <row r="132" spans="1:13">
      <c r="A132" s="97" t="s">
        <v>463</v>
      </c>
      <c r="B132" s="98" t="s">
        <v>120</v>
      </c>
      <c r="C132" s="98" t="s">
        <v>464</v>
      </c>
      <c r="D132" s="98" t="s">
        <v>377</v>
      </c>
      <c r="E132" s="98">
        <v>13</v>
      </c>
      <c r="F132" s="98">
        <v>70.72</v>
      </c>
      <c r="G132" s="98">
        <v>2792.75</v>
      </c>
      <c r="H132" s="98">
        <v>4130.94</v>
      </c>
      <c r="I132" s="98">
        <v>4130.94</v>
      </c>
      <c r="J132" s="98">
        <v>0</v>
      </c>
      <c r="K132" s="98">
        <v>13</v>
      </c>
      <c r="L132" s="98">
        <v>674.57</v>
      </c>
      <c r="M132" s="98">
        <v>4805.51</v>
      </c>
    </row>
    <row r="133" spans="1:13">
      <c r="A133" s="97" t="s">
        <v>463</v>
      </c>
      <c r="B133" s="98" t="s">
        <v>39</v>
      </c>
      <c r="C133" s="98" t="s">
        <v>464</v>
      </c>
      <c r="D133" s="98" t="s">
        <v>377</v>
      </c>
      <c r="E133" s="98">
        <v>73</v>
      </c>
      <c r="F133" s="98">
        <v>84.3</v>
      </c>
      <c r="G133" s="98">
        <v>3577.88</v>
      </c>
      <c r="H133" s="98">
        <v>5521.81</v>
      </c>
      <c r="I133" s="98">
        <v>5521.81</v>
      </c>
      <c r="J133" s="98">
        <v>0</v>
      </c>
      <c r="K133" s="98">
        <v>73</v>
      </c>
      <c r="L133" s="98">
        <v>4089.73</v>
      </c>
      <c r="M133" s="98">
        <v>9611.54</v>
      </c>
    </row>
    <row r="134" spans="1:13">
      <c r="A134" s="97" t="s">
        <v>463</v>
      </c>
      <c r="B134" s="98" t="s">
        <v>100</v>
      </c>
      <c r="C134" s="98" t="s">
        <v>464</v>
      </c>
      <c r="D134" s="98" t="s">
        <v>377</v>
      </c>
      <c r="E134" s="98">
        <v>117</v>
      </c>
      <c r="F134" s="98">
        <v>314.1</v>
      </c>
      <c r="G134" s="98">
        <v>6919.83</v>
      </c>
      <c r="H134" s="98">
        <v>12859.95</v>
      </c>
      <c r="I134" s="98">
        <v>12859.95</v>
      </c>
      <c r="J134" s="98">
        <v>0</v>
      </c>
      <c r="K134" s="98">
        <v>117</v>
      </c>
      <c r="L134" s="98">
        <v>6599.21</v>
      </c>
      <c r="M134" s="98">
        <v>19459.16</v>
      </c>
    </row>
    <row r="135" spans="1:13">
      <c r="A135" s="97" t="s">
        <v>463</v>
      </c>
      <c r="B135" s="98" t="s">
        <v>106</v>
      </c>
      <c r="C135" s="98" t="s">
        <v>464</v>
      </c>
      <c r="D135" s="98" t="s">
        <v>377</v>
      </c>
      <c r="E135" s="98">
        <v>22</v>
      </c>
      <c r="F135" s="98">
        <v>9.36</v>
      </c>
      <c r="G135" s="98">
        <v>219.44</v>
      </c>
      <c r="H135" s="98">
        <v>456.89</v>
      </c>
      <c r="I135" s="98">
        <v>456.89</v>
      </c>
      <c r="J135" s="98">
        <v>0</v>
      </c>
      <c r="K135" s="98">
        <v>22</v>
      </c>
      <c r="L135" s="98">
        <v>1556.5</v>
      </c>
      <c r="M135" s="98">
        <v>2013.39</v>
      </c>
    </row>
    <row r="136" spans="1:13">
      <c r="A136" s="97" t="s">
        <v>463</v>
      </c>
      <c r="B136" s="98" t="s">
        <v>107</v>
      </c>
      <c r="C136" s="98" t="s">
        <v>464</v>
      </c>
      <c r="D136" s="98" t="s">
        <v>377</v>
      </c>
      <c r="E136" s="98">
        <v>6</v>
      </c>
      <c r="F136" s="98">
        <v>26.05</v>
      </c>
      <c r="G136" s="98">
        <v>573.95</v>
      </c>
      <c r="H136" s="98">
        <v>1091.66</v>
      </c>
      <c r="I136" s="98">
        <v>1091.66</v>
      </c>
      <c r="J136" s="98">
        <v>0</v>
      </c>
      <c r="K136" s="98">
        <v>6</v>
      </c>
      <c r="L136" s="98">
        <v>367.92</v>
      </c>
      <c r="M136" s="98">
        <v>1459.58</v>
      </c>
    </row>
    <row r="137" spans="1:13">
      <c r="A137" s="97" t="s">
        <v>463</v>
      </c>
      <c r="B137" s="98" t="s">
        <v>99</v>
      </c>
      <c r="C137" s="98" t="s">
        <v>464</v>
      </c>
      <c r="D137" s="98" t="s">
        <v>377</v>
      </c>
      <c r="E137" s="98">
        <v>112</v>
      </c>
      <c r="F137" s="98">
        <v>106.3</v>
      </c>
      <c r="G137" s="98">
        <v>6844.32</v>
      </c>
      <c r="H137" s="98">
        <v>7775.43</v>
      </c>
      <c r="I137" s="98">
        <v>7775.43</v>
      </c>
      <c r="J137" s="98">
        <v>0</v>
      </c>
      <c r="K137" s="98">
        <v>112</v>
      </c>
      <c r="L137" s="98">
        <v>6452.92</v>
      </c>
      <c r="M137" s="98">
        <v>14228.35</v>
      </c>
    </row>
    <row r="138" spans="1:13">
      <c r="A138" s="97" t="s">
        <v>463</v>
      </c>
      <c r="B138" s="98" t="s">
        <v>95</v>
      </c>
      <c r="C138" s="98" t="s">
        <v>464</v>
      </c>
      <c r="D138" s="98" t="s">
        <v>377</v>
      </c>
      <c r="E138" s="98">
        <v>11</v>
      </c>
      <c r="F138" s="98">
        <v>51.63</v>
      </c>
      <c r="G138" s="98">
        <v>1690.54</v>
      </c>
      <c r="H138" s="98">
        <v>2580.44</v>
      </c>
      <c r="I138" s="98">
        <v>2580.44</v>
      </c>
      <c r="J138" s="98">
        <v>0</v>
      </c>
      <c r="K138" s="98">
        <v>11</v>
      </c>
      <c r="L138" s="98">
        <v>740.53</v>
      </c>
      <c r="M138" s="98">
        <v>3320.97</v>
      </c>
    </row>
    <row r="139" spans="1:13">
      <c r="A139" s="97" t="s">
        <v>463</v>
      </c>
      <c r="B139" s="98" t="s">
        <v>37</v>
      </c>
      <c r="C139" s="98" t="s">
        <v>464</v>
      </c>
      <c r="D139" s="98" t="s">
        <v>377</v>
      </c>
      <c r="E139" s="98">
        <v>146</v>
      </c>
      <c r="F139" s="98">
        <v>1070.73</v>
      </c>
      <c r="G139" s="98">
        <v>16727.24</v>
      </c>
      <c r="H139" s="98">
        <v>39195.82</v>
      </c>
      <c r="I139" s="98">
        <v>39195.82</v>
      </c>
      <c r="J139" s="98">
        <v>0</v>
      </c>
      <c r="K139" s="98">
        <v>146</v>
      </c>
      <c r="L139" s="98">
        <v>8066.3</v>
      </c>
      <c r="M139" s="98">
        <v>47262.12</v>
      </c>
    </row>
    <row r="140" spans="1:13">
      <c r="A140" s="97" t="s">
        <v>463</v>
      </c>
      <c r="B140" s="98" t="s">
        <v>103</v>
      </c>
      <c r="C140" s="98" t="s">
        <v>464</v>
      </c>
      <c r="D140" s="98" t="s">
        <v>377</v>
      </c>
      <c r="E140" s="98">
        <v>7</v>
      </c>
      <c r="F140" s="98">
        <v>4.65</v>
      </c>
      <c r="G140" s="98">
        <v>355.1</v>
      </c>
      <c r="H140" s="98">
        <v>355.1</v>
      </c>
      <c r="I140" s="98">
        <v>355.1</v>
      </c>
      <c r="J140" s="98">
        <v>0</v>
      </c>
      <c r="K140" s="98">
        <v>7</v>
      </c>
      <c r="L140" s="98">
        <v>419.81</v>
      </c>
      <c r="M140" s="98">
        <v>774.91</v>
      </c>
    </row>
    <row r="141" spans="1:13">
      <c r="A141" s="97" t="s">
        <v>463</v>
      </c>
      <c r="B141" s="98" t="s">
        <v>104</v>
      </c>
      <c r="C141" s="98" t="s">
        <v>464</v>
      </c>
      <c r="D141" s="98" t="s">
        <v>377</v>
      </c>
      <c r="E141" s="98">
        <v>2</v>
      </c>
      <c r="F141" s="98">
        <v>5.5</v>
      </c>
      <c r="G141" s="98">
        <v>242.66</v>
      </c>
      <c r="H141" s="98">
        <v>314.28</v>
      </c>
      <c r="I141" s="98">
        <v>314.28</v>
      </c>
      <c r="J141" s="98">
        <v>0</v>
      </c>
      <c r="K141" s="98">
        <v>2</v>
      </c>
      <c r="L141" s="98">
        <v>141.5</v>
      </c>
      <c r="M141" s="98">
        <v>455.78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H88"/>
  <sheetViews>
    <sheetView zoomScale="90" zoomScaleNormal="90" workbookViewId="0">
      <pane xSplit="2" ySplit="2" topLeftCell="O3" activePane="bottomRight" state="frozen"/>
      <selection/>
      <selection pane="topRight"/>
      <selection pane="bottomLeft"/>
      <selection pane="bottomRight" activeCell="AD41" sqref="AD41"/>
    </sheetView>
  </sheetViews>
  <sheetFormatPr defaultColWidth="9" defaultRowHeight="13.5"/>
  <cols>
    <col min="1" max="1" width="10.25" customWidth="1"/>
    <col min="2" max="2" width="13.75" customWidth="1"/>
    <col min="5" max="5" width="12.625"/>
    <col min="6" max="6" width="14.25" customWidth="1"/>
    <col min="7" max="7" width="11.375" customWidth="1"/>
    <col min="9" max="9" width="12.625"/>
    <col min="10" max="11" width="10.375"/>
    <col min="12" max="12" width="12.625"/>
    <col min="13" max="13" width="10.375"/>
    <col min="14" max="14" width="12.625"/>
    <col min="15" max="15" width="10.375"/>
    <col min="16" max="16" width="11.5083333333333"/>
    <col min="19" max="19" width="10.375"/>
    <col min="20" max="20" width="12.625"/>
    <col min="21" max="21" width="10" customWidth="1"/>
    <col min="23" max="23" width="11.5083333333333"/>
    <col min="24" max="25" width="11.5083333333333" customWidth="1"/>
    <col min="26" max="26" width="11.5083333333333"/>
    <col min="27" max="32" width="12.625"/>
    <col min="35" max="35" width="12.625"/>
  </cols>
  <sheetData>
    <row r="1" spans="1:34">
      <c r="A1" s="22" t="s">
        <v>467</v>
      </c>
      <c r="B1" s="22"/>
      <c r="C1" s="23" t="s">
        <v>468</v>
      </c>
      <c r="D1" s="23"/>
      <c r="E1" s="23"/>
      <c r="F1" s="23"/>
      <c r="G1" s="23"/>
      <c r="H1" s="23"/>
      <c r="I1" s="23"/>
      <c r="J1" s="24" t="s">
        <v>469</v>
      </c>
      <c r="K1" s="24"/>
      <c r="L1" s="24"/>
      <c r="M1" s="24"/>
      <c r="N1" s="24"/>
      <c r="O1" s="24"/>
      <c r="P1" s="24"/>
      <c r="Q1" s="25" t="s">
        <v>470</v>
      </c>
      <c r="R1" s="26"/>
      <c r="S1" s="26"/>
      <c r="T1" s="26"/>
      <c r="U1" s="26"/>
      <c r="V1" s="26"/>
      <c r="W1" s="27"/>
      <c r="X1" s="28" t="s">
        <v>471</v>
      </c>
      <c r="Y1" s="29"/>
      <c r="Z1" s="29"/>
      <c r="AA1" s="29"/>
      <c r="AB1" s="29"/>
      <c r="AC1" s="29"/>
      <c r="AD1" s="29"/>
      <c r="AE1" s="30" t="s">
        <v>184</v>
      </c>
      <c r="AF1" s="30"/>
      <c r="AG1" s="30"/>
      <c r="AH1" s="31"/>
    </row>
    <row r="2" ht="23" customHeight="1" spans="1:34">
      <c r="A2" s="32" t="s">
        <v>187</v>
      </c>
      <c r="B2" s="33"/>
      <c r="C2" s="34" t="s">
        <v>188</v>
      </c>
      <c r="D2" s="34" t="s">
        <v>189</v>
      </c>
      <c r="E2" s="34" t="s">
        <v>190</v>
      </c>
      <c r="F2" s="34" t="s">
        <v>189</v>
      </c>
      <c r="G2" s="34" t="s">
        <v>191</v>
      </c>
      <c r="H2" s="34" t="s">
        <v>189</v>
      </c>
      <c r="I2" s="34" t="s">
        <v>192</v>
      </c>
      <c r="J2" s="35" t="s">
        <v>188</v>
      </c>
      <c r="K2" s="35" t="s">
        <v>189</v>
      </c>
      <c r="L2" s="35" t="s">
        <v>190</v>
      </c>
      <c r="M2" s="35" t="s">
        <v>189</v>
      </c>
      <c r="N2" s="35" t="s">
        <v>191</v>
      </c>
      <c r="O2" s="35" t="s">
        <v>189</v>
      </c>
      <c r="P2" s="35" t="s">
        <v>192</v>
      </c>
      <c r="Q2" s="36" t="s">
        <v>188</v>
      </c>
      <c r="R2" s="36" t="s">
        <v>189</v>
      </c>
      <c r="S2" s="36" t="s">
        <v>190</v>
      </c>
      <c r="T2" s="36" t="s">
        <v>189</v>
      </c>
      <c r="U2" s="36" t="s">
        <v>191</v>
      </c>
      <c r="V2" s="36" t="s">
        <v>189</v>
      </c>
      <c r="W2" s="36" t="s">
        <v>192</v>
      </c>
      <c r="X2" s="37" t="s">
        <v>472</v>
      </c>
      <c r="Y2" s="37" t="s">
        <v>473</v>
      </c>
      <c r="Z2" s="37" t="s">
        <v>474</v>
      </c>
      <c r="AA2" s="37" t="s">
        <v>194</v>
      </c>
      <c r="AB2" s="37" t="s">
        <v>475</v>
      </c>
      <c r="AC2" s="37" t="s">
        <v>476</v>
      </c>
      <c r="AD2" s="37" t="s">
        <v>477</v>
      </c>
      <c r="AE2" s="38" t="s">
        <v>188</v>
      </c>
      <c r="AF2" s="38" t="s">
        <v>190</v>
      </c>
      <c r="AG2" s="38" t="s">
        <v>197</v>
      </c>
      <c r="AH2" s="38" t="s">
        <v>198</v>
      </c>
    </row>
    <row r="3" spans="1:34">
      <c r="A3" s="3" t="s">
        <v>204</v>
      </c>
      <c r="B3" s="6" t="s">
        <v>12</v>
      </c>
      <c r="C3" s="3">
        <f>SUMIF(COS!A:A,B3,COS!E:E)</f>
        <v>280</v>
      </c>
      <c r="D3" s="3">
        <f>C3-C53</f>
        <v>-216</v>
      </c>
      <c r="E3" s="39">
        <f>SUMIF(COS!A:A,B3,COS!I:I)+SUMIF(COS!A:A,B3,COS!J:J)</f>
        <v>84977.94</v>
      </c>
      <c r="F3" s="40">
        <f>E3-E53</f>
        <v>-77104</v>
      </c>
      <c r="G3" s="39">
        <f>E3/C3</f>
        <v>303.49</v>
      </c>
      <c r="H3" s="41">
        <f>(G3-G53)/G53</f>
        <v>-0.0713</v>
      </c>
      <c r="I3" s="3">
        <f>SUMIF(COS!A:A,B3,COS!L:L)</f>
        <v>0</v>
      </c>
      <c r="J3" s="3">
        <f>SUMIF(OOCL!A:A,B3,OOCL!E:E)</f>
        <v>31</v>
      </c>
      <c r="K3" s="3">
        <f>J3-J53</f>
        <v>-8</v>
      </c>
      <c r="L3" s="39">
        <f>SUMIF(OOCL!A:A,B3,OOCL!I:I)+SUMIF(OOCL!A:A,B3,OOCL!J:J)</f>
        <v>6135.41</v>
      </c>
      <c r="M3" s="42">
        <f>L3-L53</f>
        <v>-1854</v>
      </c>
      <c r="N3" s="39">
        <f t="shared" ref="N3:N9" si="0">L3/J3</f>
        <v>197.92</v>
      </c>
      <c r="O3" s="41">
        <f>(N3-N53)/N53</f>
        <v>-0.0339</v>
      </c>
      <c r="P3" s="3">
        <f>SUMIF(OOCL!A:A,B3,OOCL!L:L)</f>
        <v>0</v>
      </c>
      <c r="Q3" s="3">
        <f>SUMIF(第三方!A:A,B3,第三方!E:E)</f>
        <v>33</v>
      </c>
      <c r="R3" s="3">
        <f>Q3-Q53</f>
        <v>-59</v>
      </c>
      <c r="S3" s="43">
        <f>SUMIF(第三方!A:A,B3,第三方!I:I)+SUMIF(第三方!A:A,B3,第三方!J:J)</f>
        <v>6016</v>
      </c>
      <c r="T3" s="42">
        <f>S3-S53</f>
        <v>-15732</v>
      </c>
      <c r="U3" s="39">
        <f>S3/Q3</f>
        <v>182.3</v>
      </c>
      <c r="V3" s="41">
        <f>(U3-U53)/U53</f>
        <v>-0.2288</v>
      </c>
      <c r="W3" s="44">
        <f>SUMIF(第三方!A:A,B3,第三方!L:L)</f>
        <v>3952.85</v>
      </c>
      <c r="X3" s="44">
        <f>SUMIF(全部冷箱!A:A,B3,全部冷箱!M:M)</f>
        <v>1053.38</v>
      </c>
      <c r="Y3" s="44">
        <f>SUMIFS(第19周周填报数据!D:D,第19周周填报数据!B:B,B3,第19周周填报数据!C:C,"PTI收入")/1.06</f>
        <v>481.13</v>
      </c>
      <c r="Z3" s="44">
        <f>SUMIF(全部冷箱!A:A,B3,全部冷箱!L:L)</f>
        <v>0</v>
      </c>
      <c r="AA3" s="44">
        <f t="array" ref="AA3">SUMIFS(第19周周填报数据!D:D,第19周周填报数据!B:B,B3,第19周周填报数据!I:I,"堆场仓储板块")/1.06-AC3</f>
        <v>87461.32</v>
      </c>
      <c r="AB3" s="44">
        <v>0</v>
      </c>
      <c r="AC3" s="44">
        <f>SUMIFS(第19周周填报数据!D:D,第19周周填报数据!B:B,B3,第19周周填报数据!F:F,"龙岗堆场新箱堆存费")/1.06+SUMIFS(第19周周填报数据!D:D,第19周周填报数据!B:B,B3,第19周周填报数据!F:F,"龙岗堆场新箱拖车费")/1.09</f>
        <v>7892.83</v>
      </c>
      <c r="AD3" s="44">
        <f t="array" ref="AD3">SUMIFS(第19周周填报数据!D:D,第19周周填报数据!B:B,B3,第19周周填报数据!I:I,"&lt;&gt;堆场仓储板块")/1.06-Y3</f>
        <v>0</v>
      </c>
      <c r="AE3" s="3">
        <f>C3+J3+Q3</f>
        <v>344</v>
      </c>
      <c r="AF3" s="39">
        <f t="shared" ref="AF3:AF9" si="1">E3+I3+L3+P3+S3+W3+X3+Y3+AA3+AB3+AC3+AD3</f>
        <v>197970.86</v>
      </c>
      <c r="AG3" s="43"/>
      <c r="AH3" s="45"/>
    </row>
    <row r="4" spans="1:34">
      <c r="A4" s="9"/>
      <c r="B4" s="8" t="s">
        <v>19</v>
      </c>
      <c r="C4" s="9">
        <f>SUMIF(COS!A:A,B4,COS!E:E)</f>
        <v>2073</v>
      </c>
      <c r="D4" s="9">
        <f t="shared" ref="D4:D35" si="2">C4-C54</f>
        <v>-776</v>
      </c>
      <c r="E4" s="46">
        <f>SUMIF(COS!A:A,B4,COS!I:I)+SUMIF(COS!A:A,B4,COS!J:J)</f>
        <v>262069.23</v>
      </c>
      <c r="F4" s="47">
        <f t="shared" ref="F4:F35" si="3">E4-E54</f>
        <v>-119391</v>
      </c>
      <c r="G4" s="46">
        <f t="shared" ref="G4:G9" si="4">E4/C4</f>
        <v>126.42</v>
      </c>
      <c r="H4" s="48">
        <f t="shared" ref="H4:H35" si="5">(G4-G54)/G54</f>
        <v>-0.0558</v>
      </c>
      <c r="I4" s="9">
        <f>SUMIF(COS!A:A,B4,COS!L:L)</f>
        <v>128427.13</v>
      </c>
      <c r="J4" s="9">
        <f>SUMIF(OOCL!A:A,B4,OOCL!E:E)</f>
        <v>32</v>
      </c>
      <c r="K4" s="9">
        <f t="shared" ref="K4:K35" si="6">J4-J54</f>
        <v>-35</v>
      </c>
      <c r="L4" s="46">
        <f>SUMIF(OOCL!A:A,B4,OOCL!I:I)+SUMIF(OOCL!A:A,B4,OOCL!J:J)</f>
        <v>5634.13</v>
      </c>
      <c r="M4" s="49">
        <f t="shared" ref="M4:M35" si="7">L4-L54</f>
        <v>-6972</v>
      </c>
      <c r="N4" s="46">
        <f t="shared" si="0"/>
        <v>176.07</v>
      </c>
      <c r="O4" s="48">
        <f t="shared" ref="O4:O35" si="8">(N4-N54)/N54</f>
        <v>-0.0642</v>
      </c>
      <c r="P4" s="9">
        <f>SUMIF(OOCL!A:A,B4,OOCL!L:L)</f>
        <v>1853.67</v>
      </c>
      <c r="Q4" s="9">
        <f>SUMIF(第三方!A:A,B4,第三方!E:E)</f>
        <v>34</v>
      </c>
      <c r="R4" s="9">
        <f t="shared" ref="R4:R35" si="9">Q4-Q54</f>
        <v>-47</v>
      </c>
      <c r="S4" s="50">
        <f>SUMIF(第三方!A:A,B4,第三方!I:I)+SUMIF(第三方!A:A,B4,第三方!J:J)</f>
        <v>4779</v>
      </c>
      <c r="T4" s="49">
        <f t="shared" ref="T4:T35" si="10">S4-S54</f>
        <v>-11141</v>
      </c>
      <c r="U4" s="46">
        <f t="shared" ref="U4:U9" si="11">S4/Q4</f>
        <v>140.56</v>
      </c>
      <c r="V4" s="48">
        <f t="shared" ref="V4:V35" si="12">(U4-U54)/U54</f>
        <v>-0.2848</v>
      </c>
      <c r="W4" s="51">
        <f>SUMIF(第三方!A:A,B4,第三方!L:L)</f>
        <v>1722.17</v>
      </c>
      <c r="X4" s="51">
        <f>SUMIF(全部冷箱!A:A,B4,全部冷箱!M:M)</f>
        <v>9637.44</v>
      </c>
      <c r="Y4" s="51">
        <f>SUMIFS(第19周周填报数据!D:D,第19周周填报数据!B:B,B4,第19周周填报数据!C:C,"PTI收入")/1.06</f>
        <v>2264.15</v>
      </c>
      <c r="Z4" s="51">
        <f>SUMIF(全部冷箱!A:A,B4,全部冷箱!L:L)</f>
        <v>353.75</v>
      </c>
      <c r="AA4" s="51">
        <f t="array" ref="AA4">SUMIFS(第19周周填报数据!D:D,第19周周填报数据!B:B,B4,第19周周填报数据!I:I,"堆场仓储板块")/1.06-AC4</f>
        <v>0</v>
      </c>
      <c r="AB4" s="51">
        <v>0</v>
      </c>
      <c r="AC4" s="51">
        <f t="array" ref="AC4">SUMIFS(第19周周填报数据!D:D,第19周周填报数据!B:B,B4,第19周周填报数据!F:F,"龙岗堆场新箱堆存费")/1.06+SUMIFS(第19周周填报数据!D:D,第19周周填报数据!B:B,B4,第19周周填报数据!F:F,"龙岗堆场新箱拖车费")/1.09</f>
        <v>0</v>
      </c>
      <c r="AD4" s="51">
        <f t="array" ref="AD4">SUMIFS(第19周周填报数据!D:D,第19周周填报数据!B:B,B4,第19周周填报数据!I:I,"&lt;&gt;堆场仓储板块")/1.06-Y4</f>
        <v>8226.42</v>
      </c>
      <c r="AE4" s="9">
        <f t="shared" ref="AE4:AE9" si="13">C4+J4+Q4</f>
        <v>2139</v>
      </c>
      <c r="AF4" s="46">
        <f t="shared" si="1"/>
        <v>424613.34</v>
      </c>
      <c r="AG4" s="50"/>
      <c r="AH4" s="52"/>
    </row>
    <row r="5" spans="1:34">
      <c r="A5" s="3"/>
      <c r="B5" s="6" t="s">
        <v>30</v>
      </c>
      <c r="C5" s="3">
        <f>SUMIF(COS!A:A,B5,COS!E:E)</f>
        <v>1431</v>
      </c>
      <c r="D5" s="3">
        <f t="shared" si="2"/>
        <v>-853</v>
      </c>
      <c r="E5" s="39">
        <f>SUMIF(COS!A:A,B5,COS!I:I)+SUMIF(COS!A:A,B5,COS!J:J)</f>
        <v>291234.86</v>
      </c>
      <c r="F5" s="40">
        <f t="shared" si="3"/>
        <v>-168475</v>
      </c>
      <c r="G5" s="39">
        <f t="shared" si="4"/>
        <v>203.52</v>
      </c>
      <c r="H5" s="41">
        <f t="shared" si="5"/>
        <v>0.0112</v>
      </c>
      <c r="I5" s="3">
        <f>SUMIF(COS!A:A,B5,COS!L:L)</f>
        <v>70171.94</v>
      </c>
      <c r="J5" s="3">
        <f>SUMIF(OOCL!A:A,B5,OOCL!E:E)</f>
        <v>17</v>
      </c>
      <c r="K5" s="3">
        <f t="shared" si="6"/>
        <v>-7</v>
      </c>
      <c r="L5" s="39">
        <f>SUMIF(OOCL!A:A,B5,OOCL!I:I)+SUMIF(OOCL!A:A,B5,OOCL!J:J)</f>
        <v>4601.86</v>
      </c>
      <c r="M5" s="42">
        <f t="shared" si="7"/>
        <v>-1945</v>
      </c>
      <c r="N5" s="39">
        <f t="shared" si="0"/>
        <v>270.7</v>
      </c>
      <c r="O5" s="41">
        <f t="shared" si="8"/>
        <v>-0.0077</v>
      </c>
      <c r="P5" s="3">
        <f>SUMIF(OOCL!A:A,B5,OOCL!L:L)</f>
        <v>1146.17</v>
      </c>
      <c r="Q5" s="3">
        <f>SUMIF(第三方!A:A,B5,第三方!E:E)</f>
        <v>23</v>
      </c>
      <c r="R5" s="3">
        <f t="shared" si="9"/>
        <v>-202</v>
      </c>
      <c r="S5" s="43">
        <f>SUMIF(第三方!A:A,B5,第三方!I:I)+SUMIF(第三方!A:A,B5,第三方!J:J)</f>
        <v>7461</v>
      </c>
      <c r="T5" s="42">
        <f t="shared" si="10"/>
        <v>-49474</v>
      </c>
      <c r="U5" s="39">
        <f t="shared" si="11"/>
        <v>324.39</v>
      </c>
      <c r="V5" s="41">
        <f t="shared" si="12"/>
        <v>0.282</v>
      </c>
      <c r="W5" s="44">
        <f>SUMIF(第三方!A:A,B5,第三方!L:L)</f>
        <v>520.81</v>
      </c>
      <c r="X5" s="44">
        <f>SUMIF(全部冷箱!A:A,B5,全部冷箱!M:M)</f>
        <v>0</v>
      </c>
      <c r="Y5" s="44">
        <f>SUMIFS(第19周周填报数据!D:D,第19周周填报数据!B:B,B5,第19周周填报数据!C:C,"PTI收入")/1.06</f>
        <v>0</v>
      </c>
      <c r="Z5" s="44">
        <f>SUMIF(全部冷箱!A:A,B5,全部冷箱!L:L)</f>
        <v>0</v>
      </c>
      <c r="AA5" s="44">
        <f t="array" ref="AA5">SUMIFS(第19周周填报数据!D:D,第19周周填报数据!B:B,B5,第19周周填报数据!I:I,"堆场仓储板块")/1.06-AC5</f>
        <v>6492.45</v>
      </c>
      <c r="AB5" s="44">
        <v>0</v>
      </c>
      <c r="AC5" s="44">
        <f t="array" ref="AC5">SUMIFS(第19周周填报数据!D:D,第19周周填报数据!B:B,B5,第19周周填报数据!F:F,"龙岗堆场新箱堆存费")/1.06+SUMIFS(第19周周填报数据!D:D,第19周周填报数据!B:B,B5,第19周周填报数据!F:F,"龙岗堆场新箱拖车费")/1.09</f>
        <v>0</v>
      </c>
      <c r="AD5" s="44">
        <f t="array" ref="AD5">SUMIFS(第19周周填报数据!D:D,第19周周填报数据!B:B,B5,第19周周填报数据!I:I,"&lt;&gt;堆场仓储板块")/1.06-Y5</f>
        <v>0</v>
      </c>
      <c r="AE5" s="3">
        <f t="shared" si="13"/>
        <v>1471</v>
      </c>
      <c r="AF5" s="39">
        <f t="shared" si="1"/>
        <v>381629.09</v>
      </c>
      <c r="AG5" s="43"/>
      <c r="AH5" s="45"/>
    </row>
    <row r="6" spans="1:34">
      <c r="A6" s="9"/>
      <c r="B6" s="8" t="s">
        <v>46</v>
      </c>
      <c r="C6" s="9">
        <f>SUMIF(COS!A:A,B6,COS!E:E)</f>
        <v>1038</v>
      </c>
      <c r="D6" s="9">
        <f t="shared" si="2"/>
        <v>-293</v>
      </c>
      <c r="E6" s="46">
        <f>SUMIF(COS!A:A,B6,COS!I:I)+SUMIF(COS!A:A,B6,COS!J:J)</f>
        <v>190834.11</v>
      </c>
      <c r="F6" s="47">
        <f t="shared" si="3"/>
        <v>-119258</v>
      </c>
      <c r="G6" s="46">
        <f t="shared" si="4"/>
        <v>183.85</v>
      </c>
      <c r="H6" s="48">
        <f t="shared" si="5"/>
        <v>-0.2109</v>
      </c>
      <c r="I6" s="9">
        <f>SUMIF(COS!A:A,B6,COS!L:L)</f>
        <v>44344.39</v>
      </c>
      <c r="J6" s="9">
        <f>SUMIF(OOCL!A:A,B6,OOCL!E:E)</f>
        <v>7</v>
      </c>
      <c r="K6" s="9">
        <f t="shared" si="6"/>
        <v>4</v>
      </c>
      <c r="L6" s="46">
        <f>SUMIF(OOCL!A:A,B6,OOCL!I:I)+SUMIF(OOCL!A:A,B6,OOCL!J:J)</f>
        <v>664.1</v>
      </c>
      <c r="M6" s="49">
        <f t="shared" si="7"/>
        <v>375</v>
      </c>
      <c r="N6" s="46">
        <f t="shared" si="0"/>
        <v>94.87</v>
      </c>
      <c r="O6" s="48">
        <f t="shared" si="8"/>
        <v>-0.0151</v>
      </c>
      <c r="P6" s="9">
        <f>SUMIF(OOCL!A:A,B6,OOCL!L:L)</f>
        <v>363.23</v>
      </c>
      <c r="Q6" s="9">
        <f>SUMIF(第三方!A:A,B6,第三方!E:E)</f>
        <v>89</v>
      </c>
      <c r="R6" s="9">
        <f t="shared" si="9"/>
        <v>49</v>
      </c>
      <c r="S6" s="50">
        <f>SUMIF(第三方!A:A,B6,第三方!I:I)+SUMIF(第三方!A:A,B6,第三方!J:J)</f>
        <v>10097</v>
      </c>
      <c r="T6" s="49">
        <f t="shared" si="10"/>
        <v>2371</v>
      </c>
      <c r="U6" s="46">
        <f t="shared" si="11"/>
        <v>113.45</v>
      </c>
      <c r="V6" s="48">
        <f t="shared" si="12"/>
        <v>-0.4126</v>
      </c>
      <c r="W6" s="51">
        <f>SUMIF(第三方!A:A,B6,第三方!L:L)</f>
        <v>4410.39</v>
      </c>
      <c r="X6" s="51">
        <f>SUMIF(全部冷箱!A:A,B6,全部冷箱!M:M)</f>
        <v>663.62</v>
      </c>
      <c r="Y6" s="51">
        <f>SUMIFS(第19周周填报数据!D:D,第19周周填报数据!B:B,B6,第19周周填报数据!C:C,"PTI收入")/1.06</f>
        <v>9910.38</v>
      </c>
      <c r="Z6" s="51">
        <f>SUMIF(全部冷箱!A:A,B6,全部冷箱!L:L)</f>
        <v>0</v>
      </c>
      <c r="AA6" s="51">
        <f t="array" ref="AA6">SUMIFS(第19周周填报数据!D:D,第19周周填报数据!B:B,B6,第19周周填报数据!I:I,"堆场仓储板块")/1.06-AC6</f>
        <v>6750.62</v>
      </c>
      <c r="AB6" s="51">
        <v>0</v>
      </c>
      <c r="AC6" s="51">
        <f t="array" ref="AC6">SUMIFS(第19周周填报数据!D:D,第19周周填报数据!B:B,B6,第19周周填报数据!F:F,"龙岗堆场新箱堆存费")/1.06+SUMIFS(第19周周填报数据!D:D,第19周周填报数据!B:B,B6,第19周周填报数据!F:F,"龙岗堆场新箱拖车费")/1.09</f>
        <v>0</v>
      </c>
      <c r="AD6" s="51">
        <f t="array" ref="AD6">SUMIFS(第19周周填报数据!D:D,第19周周填报数据!B:B,B6,第19周周填报数据!I:I,"&lt;&gt;堆场仓储板块")/1.06-Y6</f>
        <v>0</v>
      </c>
      <c r="AE6" s="9">
        <f t="shared" si="13"/>
        <v>1134</v>
      </c>
      <c r="AF6" s="46">
        <f t="shared" si="1"/>
        <v>268037.84</v>
      </c>
      <c r="AG6" s="50"/>
      <c r="AH6" s="52"/>
    </row>
    <row r="7" spans="1:34">
      <c r="A7" s="3"/>
      <c r="B7" s="6" t="s">
        <v>50</v>
      </c>
      <c r="C7" s="3">
        <f>SUMIF(COS!A:A,B7,COS!E:E)</f>
        <v>1535</v>
      </c>
      <c r="D7" s="3">
        <f t="shared" si="2"/>
        <v>-422</v>
      </c>
      <c r="E7" s="39">
        <f>SUMIF(COS!A:A,B7,COS!I:I)+SUMIF(COS!A:A,B7,COS!J:J)</f>
        <v>399301.73</v>
      </c>
      <c r="F7" s="40">
        <f t="shared" si="3"/>
        <v>-156745</v>
      </c>
      <c r="G7" s="39">
        <f t="shared" si="4"/>
        <v>260.13</v>
      </c>
      <c r="H7" s="41">
        <f t="shared" si="5"/>
        <v>-0.0845</v>
      </c>
      <c r="I7" s="3">
        <f>SUMIF(COS!A:A,B7,COS!L:L)</f>
        <v>1919.93</v>
      </c>
      <c r="J7" s="3">
        <f>SUMIF(OOCL!A:A,B7,OOCL!E:E)</f>
        <v>15</v>
      </c>
      <c r="K7" s="3">
        <f t="shared" si="6"/>
        <v>1</v>
      </c>
      <c r="L7" s="39">
        <f>SUMIF(OOCL!A:A,B7,OOCL!I:I)+SUMIF(OOCL!A:A,B7,OOCL!J:J)</f>
        <v>4905.56</v>
      </c>
      <c r="M7" s="42">
        <f t="shared" si="7"/>
        <v>2646</v>
      </c>
      <c r="N7" s="39">
        <f t="shared" si="0"/>
        <v>327.04</v>
      </c>
      <c r="O7" s="41">
        <f t="shared" si="8"/>
        <v>1.0264</v>
      </c>
      <c r="P7" s="3">
        <f>SUMIF(OOCL!A:A,B7,OOCL!L:L)</f>
        <v>0</v>
      </c>
      <c r="Q7" s="3">
        <f>SUMIF(第三方!A:A,B7,第三方!E:E)</f>
        <v>0</v>
      </c>
      <c r="R7" s="3">
        <f t="shared" si="9"/>
        <v>0</v>
      </c>
      <c r="S7" s="43">
        <f>SUMIF(第三方!A:A,B7,第三方!I:I)+SUMIF(第三方!A:A,B7,第三方!J:J)</f>
        <v>0</v>
      </c>
      <c r="T7" s="42">
        <f t="shared" si="10"/>
        <v>0</v>
      </c>
      <c r="U7" s="39" t="e">
        <f t="shared" si="11"/>
        <v>#DIV/0!</v>
      </c>
      <c r="V7" s="41" t="e">
        <f t="shared" si="12"/>
        <v>#DIV/0!</v>
      </c>
      <c r="W7" s="44">
        <f>SUMIF(第三方!A:A,B7,第三方!L:L)</f>
        <v>0</v>
      </c>
      <c r="X7" s="44">
        <f>SUMIF(全部冷箱!A:A,B7,全部冷箱!M:M)</f>
        <v>0</v>
      </c>
      <c r="Y7" s="44">
        <f>SUMIFS(第19周周填报数据!D:D,第19周周填报数据!B:B,B7,第19周周填报数据!C:C,"PTI收入")/1.06</f>
        <v>9806.6</v>
      </c>
      <c r="Z7" s="44">
        <f>SUMIF(全部冷箱!A:A,B7,全部冷箱!L:L)</f>
        <v>0</v>
      </c>
      <c r="AA7" s="44">
        <f t="array" ref="AA7">SUMIFS(第19周周填报数据!D:D,第19周周填报数据!B:B,B7,第19周周填报数据!I:I,"堆场仓储板块")/1.06-AC7</f>
        <v>65413.21</v>
      </c>
      <c r="AB7" s="44">
        <v>0</v>
      </c>
      <c r="AC7" s="44">
        <f t="array" ref="AC7">SUMIFS(第19周周填报数据!D:D,第19周周填报数据!B:B,B7,第19周周填报数据!F:F,"龙岗堆场新箱堆存费")/1.06+SUMIFS(第19周周填报数据!D:D,第19周周填报数据!B:B,B7,第19周周填报数据!F:F,"龙岗堆场新箱拖车费")/1.09</f>
        <v>0</v>
      </c>
      <c r="AD7" s="44">
        <f t="array" ref="AD7">SUMIFS(第19周周填报数据!D:D,第19周周填报数据!B:B,B7,第19周周填报数据!I:I,"&lt;&gt;堆场仓储板块")/1.06-Y7</f>
        <v>0</v>
      </c>
      <c r="AE7" s="3">
        <f t="shared" si="13"/>
        <v>1550</v>
      </c>
      <c r="AF7" s="39">
        <f t="shared" si="1"/>
        <v>481347.03</v>
      </c>
      <c r="AG7" s="43"/>
      <c r="AH7" s="45"/>
    </row>
    <row r="8" spans="1:34">
      <c r="A8" s="9"/>
      <c r="B8" s="8" t="s">
        <v>9</v>
      </c>
      <c r="C8" s="9">
        <f>SUMIF(COS!A:A,B8,COS!E:E)</f>
        <v>150</v>
      </c>
      <c r="D8" s="9">
        <f t="shared" si="2"/>
        <v>-96</v>
      </c>
      <c r="E8" s="46">
        <f>SUMIF(COS!A:A,B8,COS!I:I)+SUMIF(COS!A:A,B8,COS!J:J)</f>
        <v>28764.04</v>
      </c>
      <c r="F8" s="47">
        <f t="shared" si="3"/>
        <v>-8341</v>
      </c>
      <c r="G8" s="46">
        <f t="shared" si="4"/>
        <v>191.76</v>
      </c>
      <c r="H8" s="48">
        <f t="shared" si="5"/>
        <v>0.2714</v>
      </c>
      <c r="I8" s="9">
        <f>SUMIF(COS!A:A,B8,COS!L:L)</f>
        <v>5367.92</v>
      </c>
      <c r="J8" s="9">
        <f>SUMIF(OOCL!A:A,B8,OOCL!E:E)</f>
        <v>27</v>
      </c>
      <c r="K8" s="9">
        <f t="shared" si="6"/>
        <v>-41</v>
      </c>
      <c r="L8" s="46">
        <f>SUMIF(OOCL!A:A,B8,OOCL!I:I)+SUMIF(OOCL!A:A,B8,OOCL!J:J)</f>
        <v>7671.77</v>
      </c>
      <c r="M8" s="49">
        <f t="shared" si="7"/>
        <v>-13031</v>
      </c>
      <c r="N8" s="46">
        <f t="shared" si="0"/>
        <v>284.14</v>
      </c>
      <c r="O8" s="48">
        <f t="shared" si="8"/>
        <v>-0.0667</v>
      </c>
      <c r="P8" s="9">
        <f>SUMIF(OOCL!A:A,B8,OOCL!L:L)</f>
        <v>0</v>
      </c>
      <c r="Q8" s="9">
        <f>SUMIF(第三方!A:A,B8,第三方!E:E)</f>
        <v>13</v>
      </c>
      <c r="R8" s="9">
        <f t="shared" si="9"/>
        <v>-341</v>
      </c>
      <c r="S8" s="50">
        <f>SUMIF(第三方!A:A,B8,第三方!I:I)+SUMIF(第三方!A:A,B8,第三方!J:J)</f>
        <v>3501</v>
      </c>
      <c r="T8" s="49">
        <f t="shared" si="10"/>
        <v>-20339</v>
      </c>
      <c r="U8" s="46">
        <f t="shared" si="11"/>
        <v>269.31</v>
      </c>
      <c r="V8" s="48">
        <f t="shared" si="12"/>
        <v>2.9993</v>
      </c>
      <c r="W8" s="51">
        <f>SUMIF(第三方!A:A,B8,第三方!L:L)</f>
        <v>0</v>
      </c>
      <c r="X8" s="51">
        <f>SUMIF(全部冷箱!A:A,B8,全部冷箱!M:M)</f>
        <v>644.54</v>
      </c>
      <c r="Y8" s="51">
        <f>SUMIFS(第19周周填报数据!D:D,第19周周填报数据!B:B,B8,第19周周填报数据!C:C,"PTI收入")/1.06</f>
        <v>0</v>
      </c>
      <c r="Z8" s="51">
        <f>SUMIF(全部冷箱!A:A,B8,全部冷箱!L:L)</f>
        <v>0</v>
      </c>
      <c r="AA8" s="51">
        <f t="array" ref="AA8">SUMIFS(第19周周填报数据!D:D,第19周周填报数据!B:B,B8,第19周周填报数据!I:I,"堆场仓储板块")/1.06-AC8</f>
        <v>46215.09</v>
      </c>
      <c r="AB8" s="51">
        <f>SUMIFS(第19周周填报数据!D:D,第19周周填报数据!B:B,"市场部拆装箱")/1.06</f>
        <v>114825.47</v>
      </c>
      <c r="AC8" s="51">
        <f t="array" ref="AC8">SUMIFS(第19周周填报数据!D:D,第19周周填报数据!B:B,B8,第19周周填报数据!F:F,"龙岗堆场新箱堆存费")/1.06+SUMIFS(第19周周填报数据!D:D,第19周周填报数据!B:B,B8,第19周周填报数据!F:F,"龙岗堆场新箱拖车费")/1.09</f>
        <v>0</v>
      </c>
      <c r="AD8" s="51">
        <f t="array" ref="AD8">SUMIFS(第19周周填报数据!D:D,第19周周填报数据!B:B,B8,第19周周填报数据!I:I,"&lt;&gt;堆场仓储板块")/1.06-Y8</f>
        <v>0</v>
      </c>
      <c r="AE8" s="9">
        <f t="shared" si="13"/>
        <v>190</v>
      </c>
      <c r="AF8" s="46">
        <f t="shared" si="1"/>
        <v>206989.83</v>
      </c>
      <c r="AG8" s="50"/>
      <c r="AH8" s="52"/>
    </row>
    <row r="9" spans="1:34">
      <c r="A9" s="53"/>
      <c r="B9" s="12" t="s">
        <v>205</v>
      </c>
      <c r="C9" s="53">
        <f>SUM(C3:C8)</f>
        <v>6507</v>
      </c>
      <c r="D9" s="53">
        <f t="shared" si="2"/>
        <v>-2656</v>
      </c>
      <c r="E9" s="54">
        <f>SUM(E3:E8)</f>
        <v>1257181.91</v>
      </c>
      <c r="F9" s="55">
        <f t="shared" si="3"/>
        <v>-649315</v>
      </c>
      <c r="G9" s="54">
        <f t="shared" si="4"/>
        <v>193.2</v>
      </c>
      <c r="H9" s="56">
        <f t="shared" si="5"/>
        <v>-0.0714</v>
      </c>
      <c r="I9" s="53">
        <f>SUM(I3:I8)</f>
        <v>250231.31</v>
      </c>
      <c r="J9" s="53">
        <f>SUM(J3:J8)</f>
        <v>129</v>
      </c>
      <c r="K9" s="53">
        <f t="shared" si="6"/>
        <v>-86</v>
      </c>
      <c r="L9" s="54">
        <f>SUM(L3:L8)</f>
        <v>29612.83</v>
      </c>
      <c r="M9" s="57">
        <f t="shared" si="7"/>
        <v>-20781</v>
      </c>
      <c r="N9" s="54">
        <f t="shared" ref="N9:N35" si="14">L9/J9</f>
        <v>229.56</v>
      </c>
      <c r="O9" s="56">
        <f t="shared" si="8"/>
        <v>-0.0206</v>
      </c>
      <c r="P9" s="53">
        <f>SUM(P3:P8)</f>
        <v>3363.07</v>
      </c>
      <c r="Q9" s="53">
        <f>SUM(Q3:Q8)</f>
        <v>192</v>
      </c>
      <c r="R9" s="53">
        <f t="shared" si="9"/>
        <v>-600</v>
      </c>
      <c r="S9" s="58">
        <f>SUM(S3:S8)</f>
        <v>31854</v>
      </c>
      <c r="T9" s="57">
        <f t="shared" si="10"/>
        <v>-94315</v>
      </c>
      <c r="U9" s="54">
        <f t="shared" ref="U9:U35" si="15">S9/Q9</f>
        <v>165.91</v>
      </c>
      <c r="V9" s="56">
        <f t="shared" si="12"/>
        <v>0.0415</v>
      </c>
      <c r="W9" s="59">
        <f t="shared" ref="W9:AD9" si="16">SUM(W3:W8)</f>
        <v>10606.22</v>
      </c>
      <c r="X9" s="59">
        <f t="shared" si="16"/>
        <v>11998.98</v>
      </c>
      <c r="Y9" s="59">
        <f t="shared" si="16"/>
        <v>22462.26</v>
      </c>
      <c r="Z9" s="59">
        <f t="shared" si="16"/>
        <v>353.75</v>
      </c>
      <c r="AA9" s="59">
        <f t="shared" si="16"/>
        <v>212332.69</v>
      </c>
      <c r="AB9" s="59">
        <f t="shared" si="16"/>
        <v>114825.47</v>
      </c>
      <c r="AC9" s="59">
        <f t="shared" si="16"/>
        <v>7892.83</v>
      </c>
      <c r="AD9" s="59">
        <f t="shared" si="16"/>
        <v>8226.42</v>
      </c>
      <c r="AE9" s="53">
        <f t="shared" ref="AE9:AE33" si="17">C9+J9+Q9</f>
        <v>6828</v>
      </c>
      <c r="AF9" s="54">
        <f t="shared" si="1"/>
        <v>1960587.99</v>
      </c>
      <c r="AG9" s="58"/>
      <c r="AH9" s="60"/>
    </row>
    <row r="10" spans="1:34">
      <c r="A10" s="10" t="s">
        <v>206</v>
      </c>
      <c r="B10" s="6" t="s">
        <v>55</v>
      </c>
      <c r="C10" s="3">
        <f>SUMIF(COS!A:A,B10,COS!E:E)</f>
        <v>1360</v>
      </c>
      <c r="D10" s="3">
        <f t="shared" si="2"/>
        <v>-1152</v>
      </c>
      <c r="E10" s="39">
        <f>SUMIF(COS!A:A,B10,COS!I:I)+SUMIF(COS!A:A,B10,COS!J:J)</f>
        <v>298212.99</v>
      </c>
      <c r="F10" s="40">
        <f t="shared" si="3"/>
        <v>-328600</v>
      </c>
      <c r="G10" s="39">
        <f t="shared" ref="G10:G35" si="18">E10/C10</f>
        <v>219.27</v>
      </c>
      <c r="H10" s="41">
        <f t="shared" si="5"/>
        <v>-0.1213</v>
      </c>
      <c r="I10" s="3">
        <f>SUMIF(COS!A:A,B10,COS!L:L)</f>
        <v>46807.17</v>
      </c>
      <c r="J10" s="3">
        <f>SUMIF(OOCL!A:A,B10,OOCL!E:E)</f>
        <v>0</v>
      </c>
      <c r="K10" s="3">
        <f t="shared" si="6"/>
        <v>-20</v>
      </c>
      <c r="L10" s="39">
        <f>SUMIF(OOCL!A:A,B10,OOCL!I:I)+SUMIF(OOCL!A:A,B10,OOCL!J:J)</f>
        <v>0</v>
      </c>
      <c r="M10" s="42">
        <f t="shared" si="7"/>
        <v>-2089</v>
      </c>
      <c r="N10" s="39" t="e">
        <f t="shared" si="14"/>
        <v>#DIV/0!</v>
      </c>
      <c r="O10" s="41" t="e">
        <f t="shared" si="8"/>
        <v>#DIV/0!</v>
      </c>
      <c r="P10" s="3">
        <f>SUMIF(OOCL!A:A,B10,OOCL!L:L)</f>
        <v>0</v>
      </c>
      <c r="Q10" s="3">
        <f>SUMIF(第三方!A:A,B10,第三方!E:E)</f>
        <v>0</v>
      </c>
      <c r="R10" s="3">
        <f t="shared" si="9"/>
        <v>0</v>
      </c>
      <c r="S10" s="43">
        <f>SUMIF(第三方!A:A,B10,第三方!I:I)+SUMIF(第三方!A:A,B10,第三方!J:J)</f>
        <v>0</v>
      </c>
      <c r="T10" s="42">
        <f t="shared" si="10"/>
        <v>0</v>
      </c>
      <c r="U10" s="39" t="e">
        <f t="shared" si="15"/>
        <v>#DIV/0!</v>
      </c>
      <c r="V10" s="41" t="e">
        <f t="shared" si="12"/>
        <v>#DIV/0!</v>
      </c>
      <c r="W10" s="44">
        <f>SUMIF(第三方!A:A,B10,第三方!L:L)</f>
        <v>0</v>
      </c>
      <c r="X10" s="44">
        <f>SUMIF(全部冷箱!A:A,B10,全部冷箱!M:M)</f>
        <v>7733.92</v>
      </c>
      <c r="Y10" s="44"/>
      <c r="Z10" s="44">
        <f>SUMIF(全部冷箱!A:A,B10,全部冷箱!L:L)</f>
        <v>778.25</v>
      </c>
      <c r="AA10" s="3"/>
      <c r="AB10" s="3"/>
      <c r="AC10" s="3">
        <f t="array" ref="AC10">SUMIFS(第19周周填报数据!D:D,第19周周填报数据!B:B,B10,第19周周填报数据!F:F,"龙岗堆场新箱堆存费")/1.06+SUMIFS(第19周周填报数据!D:D,第19周周填报数据!B:B,B10,第19周周填报数据!F:F,"龙岗堆场新箱拖车费")/1.09</f>
        <v>0</v>
      </c>
      <c r="AD10" s="3"/>
      <c r="AE10" s="3">
        <f t="shared" si="17"/>
        <v>1360</v>
      </c>
      <c r="AF10" s="39">
        <f t="shared" ref="AF10:AF35" si="19">E10+I10+L10+P10+S10+W10+X10+Y10+AA10+AB10+AC10+AD10</f>
        <v>352754.08</v>
      </c>
      <c r="AG10" s="43"/>
      <c r="AH10" s="20"/>
    </row>
    <row r="11" spans="1:34">
      <c r="A11" s="61"/>
      <c r="B11" s="6" t="s">
        <v>76</v>
      </c>
      <c r="C11" s="3">
        <f>SUMIF(COS!A:A,B11,COS!E:E)</f>
        <v>706</v>
      </c>
      <c r="D11" s="3">
        <f t="shared" si="2"/>
        <v>8</v>
      </c>
      <c r="E11" s="39">
        <f>SUMIF(COS!A:A,B11,COS!I:I)+SUMIF(COS!A:A,B11,COS!J:J)</f>
        <v>159428.64</v>
      </c>
      <c r="F11" s="40">
        <f t="shared" si="3"/>
        <v>16495</v>
      </c>
      <c r="G11" s="39">
        <f t="shared" si="18"/>
        <v>225.82</v>
      </c>
      <c r="H11" s="41">
        <f t="shared" si="5"/>
        <v>0.1027</v>
      </c>
      <c r="I11" s="3">
        <f>SUMIF(COS!A:A,B11,COS!L:L)</f>
        <v>25864.77</v>
      </c>
      <c r="J11" s="3">
        <f>SUMIF(OOCL!A:A,B11,OOCL!E:E)</f>
        <v>9</v>
      </c>
      <c r="K11" s="3">
        <f t="shared" si="6"/>
        <v>5</v>
      </c>
      <c r="L11" s="39">
        <f>SUMIF(OOCL!A:A,B11,OOCL!I:I)+SUMIF(OOCL!A:A,B11,OOCL!J:J)</f>
        <v>3304.41</v>
      </c>
      <c r="M11" s="42">
        <f t="shared" si="7"/>
        <v>1837</v>
      </c>
      <c r="N11" s="39">
        <f t="shared" si="14"/>
        <v>367.16</v>
      </c>
      <c r="O11" s="41">
        <f t="shared" si="8"/>
        <v>0.0011</v>
      </c>
      <c r="P11" s="3">
        <f>SUMIF(OOCL!A:A,B11,OOCL!L:L)</f>
        <v>0</v>
      </c>
      <c r="Q11" s="3">
        <f>SUMIF(第三方!A:A,B11,第三方!E:E)</f>
        <v>0</v>
      </c>
      <c r="R11" s="3">
        <f t="shared" si="9"/>
        <v>0</v>
      </c>
      <c r="S11" s="43">
        <f>SUMIF(第三方!A:A,B11,第三方!I:I)+SUMIF(第三方!A:A,B11,第三方!J:J)</f>
        <v>0</v>
      </c>
      <c r="T11" s="42">
        <f t="shared" si="10"/>
        <v>0</v>
      </c>
      <c r="U11" s="39" t="e">
        <f t="shared" si="15"/>
        <v>#DIV/0!</v>
      </c>
      <c r="V11" s="41" t="e">
        <f t="shared" si="12"/>
        <v>#DIV/0!</v>
      </c>
      <c r="W11" s="44">
        <f>SUMIF(第三方!A:A,B11,第三方!L:L)</f>
        <v>0</v>
      </c>
      <c r="X11" s="44">
        <f>SUMIF(全部冷箱!A:A,B11,全部冷箱!M:M)</f>
        <v>144.74</v>
      </c>
      <c r="Y11" s="44"/>
      <c r="Z11" s="44">
        <f>SUMIF(全部冷箱!A:A,B11,全部冷箱!L:L)</f>
        <v>70.75</v>
      </c>
      <c r="AA11" s="3"/>
      <c r="AB11" s="3"/>
      <c r="AC11" s="3">
        <f t="array" ref="AC11">SUMIFS(第19周周填报数据!D:D,第19周周填报数据!B:B,B11,第19周周填报数据!F:F,"龙岗堆场新箱堆存费")/1.06+SUMIFS(第19周周填报数据!D:D,第19周周填报数据!B:B,B11,第19周周填报数据!F:F,"龙岗堆场新箱拖车费")/1.09</f>
        <v>0</v>
      </c>
      <c r="AD11" s="3"/>
      <c r="AE11" s="3">
        <f t="shared" si="17"/>
        <v>715</v>
      </c>
      <c r="AF11" s="39">
        <f t="shared" si="19"/>
        <v>188742.56</v>
      </c>
      <c r="AG11" s="43"/>
      <c r="AH11" s="3"/>
    </row>
    <row r="12" spans="1:34">
      <c r="A12" s="61"/>
      <c r="B12" s="6" t="s">
        <v>83</v>
      </c>
      <c r="C12" s="3">
        <f>SUMIF(COS!A:A,B12,COS!E:E)</f>
        <v>478</v>
      </c>
      <c r="D12" s="3">
        <f t="shared" si="2"/>
        <v>-139</v>
      </c>
      <c r="E12" s="39">
        <f>SUMIF(COS!A:A,B12,COS!I:I)+SUMIF(COS!A:A,B12,COS!J:J)</f>
        <v>56154.13</v>
      </c>
      <c r="F12" s="40">
        <f t="shared" si="3"/>
        <v>-61797</v>
      </c>
      <c r="G12" s="39">
        <f t="shared" si="18"/>
        <v>117.48</v>
      </c>
      <c r="H12" s="41">
        <f t="shared" si="5"/>
        <v>-0.3855</v>
      </c>
      <c r="I12" s="3">
        <f>SUMIF(COS!A:A,B12,COS!L:L)</f>
        <v>28462.26</v>
      </c>
      <c r="J12" s="3">
        <f>SUMIF(OOCL!A:A,B12,OOCL!E:E)</f>
        <v>4</v>
      </c>
      <c r="K12" s="3">
        <f t="shared" si="6"/>
        <v>-47</v>
      </c>
      <c r="L12" s="39">
        <f>SUMIF(OOCL!A:A,B12,OOCL!I:I)+SUMIF(OOCL!A:A,B12,OOCL!J:J)</f>
        <v>707.11</v>
      </c>
      <c r="M12" s="42">
        <f t="shared" si="7"/>
        <v>-7181</v>
      </c>
      <c r="N12" s="39">
        <f t="shared" si="14"/>
        <v>176.78</v>
      </c>
      <c r="O12" s="41">
        <f t="shared" si="8"/>
        <v>0.1429</v>
      </c>
      <c r="P12" s="3">
        <f>SUMIF(OOCL!A:A,B12,OOCL!L:L)</f>
        <v>226.42</v>
      </c>
      <c r="Q12" s="3">
        <f>SUMIF(第三方!A:A,B12,第三方!E:E)</f>
        <v>0</v>
      </c>
      <c r="R12" s="3">
        <f t="shared" si="9"/>
        <v>0</v>
      </c>
      <c r="S12" s="43">
        <f>SUMIF(第三方!A:A,B12,第三方!I:I)+SUMIF(第三方!A:A,B12,第三方!J:J)</f>
        <v>0</v>
      </c>
      <c r="T12" s="42">
        <f t="shared" si="10"/>
        <v>0</v>
      </c>
      <c r="U12" s="39" t="e">
        <f t="shared" si="15"/>
        <v>#DIV/0!</v>
      </c>
      <c r="V12" s="41" t="e">
        <f t="shared" si="12"/>
        <v>#DIV/0!</v>
      </c>
      <c r="W12" s="44">
        <f>SUMIF(第三方!A:A,B12,第三方!L:L)</f>
        <v>0</v>
      </c>
      <c r="X12" s="44">
        <f>SUMIF(全部冷箱!A:A,B12,全部冷箱!M:M)</f>
        <v>0</v>
      </c>
      <c r="Y12" s="44"/>
      <c r="Z12" s="44">
        <f>SUMIF(全部冷箱!A:A,B12,全部冷箱!L:L)</f>
        <v>0</v>
      </c>
      <c r="AA12" s="3"/>
      <c r="AB12" s="3"/>
      <c r="AC12" s="3">
        <f t="array" ref="AC12">SUMIFS(第19周周填报数据!D:D,第19周周填报数据!B:B,B12,第19周周填报数据!F:F,"龙岗堆场新箱堆存费")/1.06+SUMIFS(第19周周填报数据!D:D,第19周周填报数据!B:B,B12,第19周周填报数据!F:F,"龙岗堆场新箱拖车费")/1.09</f>
        <v>0</v>
      </c>
      <c r="AD12" s="3"/>
      <c r="AE12" s="3">
        <f t="shared" si="17"/>
        <v>482</v>
      </c>
      <c r="AF12" s="39">
        <f t="shared" si="19"/>
        <v>85549.92</v>
      </c>
      <c r="AG12" s="43"/>
      <c r="AH12" s="3"/>
    </row>
    <row r="13" spans="1:34">
      <c r="A13" s="61"/>
      <c r="B13" s="6" t="s">
        <v>98</v>
      </c>
      <c r="C13" s="3">
        <f>SUMIF(COS!A:A,B13,COS!E:E)</f>
        <v>295</v>
      </c>
      <c r="D13" s="3">
        <f t="shared" si="2"/>
        <v>-45</v>
      </c>
      <c r="E13" s="39">
        <f>SUMIF(COS!A:A,B13,COS!I:I)+SUMIF(COS!A:A,B13,COS!J:J)</f>
        <v>24988.93</v>
      </c>
      <c r="F13" s="40">
        <f t="shared" si="3"/>
        <v>-18576</v>
      </c>
      <c r="G13" s="39">
        <f t="shared" si="18"/>
        <v>84.71</v>
      </c>
      <c r="H13" s="41">
        <f t="shared" si="5"/>
        <v>-0.3389</v>
      </c>
      <c r="I13" s="3">
        <f>SUMIF(COS!A:A,B13,COS!L:L)</f>
        <v>17570.75</v>
      </c>
      <c r="J13" s="3">
        <f>SUMIF(OOCL!A:A,B13,OOCL!E:E)</f>
        <v>0</v>
      </c>
      <c r="K13" s="3">
        <f t="shared" si="6"/>
        <v>0</v>
      </c>
      <c r="L13" s="39">
        <f>SUMIF(OOCL!A:A,B13,OOCL!I:I)+SUMIF(OOCL!A:A,B13,OOCL!J:J)</f>
        <v>0</v>
      </c>
      <c r="M13" s="42">
        <f t="shared" si="7"/>
        <v>0</v>
      </c>
      <c r="N13" s="39" t="e">
        <f t="shared" si="14"/>
        <v>#DIV/0!</v>
      </c>
      <c r="O13" s="41" t="e">
        <f t="shared" si="8"/>
        <v>#DIV/0!</v>
      </c>
      <c r="P13" s="3">
        <f>SUMIF(OOCL!A:A,B13,OOCL!L:L)</f>
        <v>0</v>
      </c>
      <c r="Q13" s="3">
        <f>SUMIF(第三方!A:A,B13,第三方!E:E)</f>
        <v>0</v>
      </c>
      <c r="R13" s="3">
        <f t="shared" si="9"/>
        <v>0</v>
      </c>
      <c r="S13" s="43">
        <f>SUMIF(第三方!A:A,B13,第三方!I:I)+SUMIF(第三方!A:A,B13,第三方!J:J)</f>
        <v>0</v>
      </c>
      <c r="T13" s="42">
        <f t="shared" si="10"/>
        <v>0</v>
      </c>
      <c r="U13" s="39" t="e">
        <f t="shared" si="15"/>
        <v>#DIV/0!</v>
      </c>
      <c r="V13" s="41" t="e">
        <f t="shared" si="12"/>
        <v>#DIV/0!</v>
      </c>
      <c r="W13" s="44">
        <f>SUMIF(第三方!A:A,B13,第三方!L:L)</f>
        <v>0</v>
      </c>
      <c r="X13" s="44">
        <f>SUMIF(全部冷箱!A:A,B13,全部冷箱!M:M)</f>
        <v>0</v>
      </c>
      <c r="Y13" s="44"/>
      <c r="Z13" s="44">
        <f>SUMIF(全部冷箱!A:A,B13,全部冷箱!L:L)</f>
        <v>0</v>
      </c>
      <c r="AA13" s="3"/>
      <c r="AB13" s="3"/>
      <c r="AC13" s="3">
        <f t="array" ref="AC13">SUMIFS(第19周周填报数据!D:D,第19周周填报数据!B:B,B13,第19周周填报数据!F:F,"龙岗堆场新箱堆存费")/1.06+SUMIFS(第19周周填报数据!D:D,第19周周填报数据!B:B,B13,第19周周填报数据!F:F,"龙岗堆场新箱拖车费")/1.09</f>
        <v>0</v>
      </c>
      <c r="AD13" s="3"/>
      <c r="AE13" s="3">
        <f t="shared" si="17"/>
        <v>295</v>
      </c>
      <c r="AF13" s="39">
        <f t="shared" si="19"/>
        <v>42559.68</v>
      </c>
      <c r="AG13" s="43"/>
      <c r="AH13" s="3"/>
    </row>
    <row r="14" spans="1:34">
      <c r="A14" s="61"/>
      <c r="B14" s="6" t="s">
        <v>108</v>
      </c>
      <c r="C14" s="3">
        <f>SUMIF(COS!A:A,B14,COS!E:E)</f>
        <v>313</v>
      </c>
      <c r="D14" s="3">
        <f t="shared" si="2"/>
        <v>-13</v>
      </c>
      <c r="E14" s="39">
        <f>SUMIF(COS!A:A,B14,COS!I:I)+SUMIF(COS!A:A,B14,COS!J:J)</f>
        <v>62316.04</v>
      </c>
      <c r="F14" s="40">
        <f t="shared" si="3"/>
        <v>-4408</v>
      </c>
      <c r="G14" s="39">
        <f t="shared" si="18"/>
        <v>199.09</v>
      </c>
      <c r="H14" s="41">
        <f t="shared" si="5"/>
        <v>-0.0273</v>
      </c>
      <c r="I14" s="3">
        <f>SUMIF(COS!A:A,B14,COS!L:L)</f>
        <v>16581.05</v>
      </c>
      <c r="J14" s="3">
        <f>SUMIF(OOCL!A:A,B14,OOCL!E:E)</f>
        <v>0</v>
      </c>
      <c r="K14" s="3">
        <f t="shared" si="6"/>
        <v>0</v>
      </c>
      <c r="L14" s="39">
        <f>SUMIF(OOCL!A:A,B14,OOCL!I:I)+SUMIF(OOCL!A:A,B14,OOCL!J:J)</f>
        <v>0</v>
      </c>
      <c r="M14" s="42">
        <f t="shared" si="7"/>
        <v>0</v>
      </c>
      <c r="N14" s="39" t="e">
        <f t="shared" si="14"/>
        <v>#DIV/0!</v>
      </c>
      <c r="O14" s="41" t="e">
        <f t="shared" si="8"/>
        <v>#DIV/0!</v>
      </c>
      <c r="P14" s="3">
        <f>SUMIF(OOCL!A:A,B14,OOCL!L:L)</f>
        <v>0</v>
      </c>
      <c r="Q14" s="3">
        <f>SUMIF(第三方!A:A,B14,第三方!E:E)</f>
        <v>0</v>
      </c>
      <c r="R14" s="3">
        <f t="shared" si="9"/>
        <v>0</v>
      </c>
      <c r="S14" s="43">
        <f>SUMIF(第三方!A:A,B14,第三方!I:I)+SUMIF(第三方!A:A,B14,第三方!J:J)</f>
        <v>0</v>
      </c>
      <c r="T14" s="42">
        <f t="shared" si="10"/>
        <v>0</v>
      </c>
      <c r="U14" s="39" t="e">
        <f t="shared" si="15"/>
        <v>#DIV/0!</v>
      </c>
      <c r="V14" s="41" t="e">
        <f t="shared" si="12"/>
        <v>#DIV/0!</v>
      </c>
      <c r="W14" s="44">
        <f>SUMIF(第三方!A:A,B14,第三方!L:L)</f>
        <v>0</v>
      </c>
      <c r="X14" s="44">
        <f>SUMIF(全部冷箱!A:A,B14,全部冷箱!M:M)</f>
        <v>0</v>
      </c>
      <c r="Y14" s="44"/>
      <c r="Z14" s="44">
        <f>SUMIF(全部冷箱!A:A,B14,全部冷箱!L:L)</f>
        <v>0</v>
      </c>
      <c r="AA14" s="3"/>
      <c r="AB14" s="3"/>
      <c r="AC14" s="3">
        <f t="array" ref="AC14">SUMIFS(第19周周填报数据!D:D,第19周周填报数据!B:B,B14,第19周周填报数据!F:F,"龙岗堆场新箱堆存费")/1.06+SUMIFS(第19周周填报数据!D:D,第19周周填报数据!B:B,B14,第19周周填报数据!F:F,"龙岗堆场新箱拖车费")/1.09</f>
        <v>0</v>
      </c>
      <c r="AD14" s="3"/>
      <c r="AE14" s="3">
        <f t="shared" si="17"/>
        <v>313</v>
      </c>
      <c r="AF14" s="39">
        <f t="shared" si="19"/>
        <v>78897.09</v>
      </c>
      <c r="AG14" s="43"/>
      <c r="AH14" s="3"/>
    </row>
    <row r="15" spans="1:34">
      <c r="A15" s="61"/>
      <c r="B15" s="6" t="s">
        <v>117</v>
      </c>
      <c r="C15" s="3">
        <f>SUMIF(COS!A:A,B15,COS!E:E)</f>
        <v>18</v>
      </c>
      <c r="D15" s="3">
        <f t="shared" si="2"/>
        <v>0</v>
      </c>
      <c r="E15" s="39">
        <f>SUMIF(COS!A:A,B15,COS!I:I)+SUMIF(COS!A:A,B15,COS!J:J)</f>
        <v>6789.18</v>
      </c>
      <c r="F15" s="40">
        <f t="shared" si="3"/>
        <v>3440</v>
      </c>
      <c r="G15" s="39">
        <f t="shared" si="18"/>
        <v>377.18</v>
      </c>
      <c r="H15" s="41">
        <f t="shared" si="5"/>
        <v>1.0272</v>
      </c>
      <c r="I15" s="3">
        <f>SUMIF(COS!A:A,B15,COS!L:L)</f>
        <v>1028.32</v>
      </c>
      <c r="J15" s="3">
        <f>SUMIF(OOCL!A:A,B15,OOCL!E:E)</f>
        <v>0</v>
      </c>
      <c r="K15" s="3">
        <f t="shared" si="6"/>
        <v>0</v>
      </c>
      <c r="L15" s="39">
        <f>SUMIF(OOCL!A:A,B15,OOCL!I:I)+SUMIF(OOCL!A:A,B15,OOCL!J:J)</f>
        <v>0</v>
      </c>
      <c r="M15" s="42">
        <f t="shared" si="7"/>
        <v>0</v>
      </c>
      <c r="N15" s="39" t="e">
        <f t="shared" si="14"/>
        <v>#DIV/0!</v>
      </c>
      <c r="O15" s="41" t="e">
        <f t="shared" si="8"/>
        <v>#DIV/0!</v>
      </c>
      <c r="P15" s="3">
        <f>SUMIF(OOCL!A:A,B15,OOCL!L:L)</f>
        <v>0</v>
      </c>
      <c r="Q15" s="3">
        <f>SUMIF(第三方!A:A,B15,第三方!E:E)</f>
        <v>0</v>
      </c>
      <c r="R15" s="3">
        <f t="shared" si="9"/>
        <v>0</v>
      </c>
      <c r="S15" s="43">
        <f>SUMIF(第三方!A:A,B15,第三方!I:I)+SUMIF(第三方!A:A,B15,第三方!J:J)</f>
        <v>0</v>
      </c>
      <c r="T15" s="42">
        <f t="shared" si="10"/>
        <v>0</v>
      </c>
      <c r="U15" s="39" t="e">
        <f t="shared" si="15"/>
        <v>#DIV/0!</v>
      </c>
      <c r="V15" s="41" t="e">
        <f t="shared" si="12"/>
        <v>#DIV/0!</v>
      </c>
      <c r="W15" s="44">
        <f>SUMIF(第三方!A:A,B15,第三方!L:L)</f>
        <v>0</v>
      </c>
      <c r="X15" s="44">
        <f>SUMIF(全部冷箱!A:A,B15,全部冷箱!M:M)</f>
        <v>0</v>
      </c>
      <c r="Y15" s="44"/>
      <c r="Z15" s="44">
        <f>SUMIF(全部冷箱!A:A,B15,全部冷箱!L:L)</f>
        <v>0</v>
      </c>
      <c r="AA15" s="3"/>
      <c r="AB15" s="3"/>
      <c r="AC15" s="3">
        <f t="array" ref="AC15">SUMIFS(第19周周填报数据!D:D,第19周周填报数据!B:B,B15,第19周周填报数据!F:F,"龙岗堆场新箱堆存费")/1.06+SUMIFS(第19周周填报数据!D:D,第19周周填报数据!B:B,B15,第19周周填报数据!F:F,"龙岗堆场新箱拖车费")/1.09</f>
        <v>0</v>
      </c>
      <c r="AD15" s="3"/>
      <c r="AE15" s="3">
        <f t="shared" si="17"/>
        <v>18</v>
      </c>
      <c r="AF15" s="39">
        <f t="shared" si="19"/>
        <v>7817.5</v>
      </c>
      <c r="AG15" s="43"/>
      <c r="AH15" s="3"/>
    </row>
    <row r="16" spans="1:34">
      <c r="A16" s="61"/>
      <c r="B16" s="6" t="s">
        <v>126</v>
      </c>
      <c r="C16" s="3">
        <f>SUMIF(COS!A:A,B16,COS!E:E)</f>
        <v>722</v>
      </c>
      <c r="D16" s="3">
        <f t="shared" si="2"/>
        <v>2</v>
      </c>
      <c r="E16" s="39">
        <f>SUMIF(COS!A:A,B16,COS!I:I)+SUMIF(COS!A:A,B16,COS!J:J)</f>
        <v>182609.65</v>
      </c>
      <c r="F16" s="40">
        <f t="shared" si="3"/>
        <v>9730</v>
      </c>
      <c r="G16" s="39">
        <f t="shared" si="18"/>
        <v>252.92</v>
      </c>
      <c r="H16" s="41">
        <f t="shared" si="5"/>
        <v>0.0534</v>
      </c>
      <c r="I16" s="3">
        <f>SUMIF(COS!A:A,B16,COS!L:L)</f>
        <v>49723.58</v>
      </c>
      <c r="J16" s="3">
        <f>SUMIF(OOCL!A:A,B16,OOCL!E:E)</f>
        <v>0</v>
      </c>
      <c r="K16" s="3">
        <f t="shared" si="6"/>
        <v>-3</v>
      </c>
      <c r="L16" s="39">
        <f>SUMIF(OOCL!A:A,B16,OOCL!I:I)+SUMIF(OOCL!A:A,B16,OOCL!J:J)</f>
        <v>0</v>
      </c>
      <c r="M16" s="42">
        <f t="shared" si="7"/>
        <v>-315</v>
      </c>
      <c r="N16" s="39" t="e">
        <f t="shared" si="14"/>
        <v>#DIV/0!</v>
      </c>
      <c r="O16" s="41" t="e">
        <f t="shared" si="8"/>
        <v>#DIV/0!</v>
      </c>
      <c r="P16" s="3">
        <f>SUMIF(OOCL!A:A,B16,OOCL!L:L)</f>
        <v>0</v>
      </c>
      <c r="Q16" s="3">
        <f>SUMIF(第三方!A:A,B16,第三方!E:E)</f>
        <v>0</v>
      </c>
      <c r="R16" s="3">
        <f t="shared" si="9"/>
        <v>0</v>
      </c>
      <c r="S16" s="43">
        <f>SUMIF(第三方!A:A,B16,第三方!I:I)+SUMIF(第三方!A:A,B16,第三方!J:J)</f>
        <v>0</v>
      </c>
      <c r="T16" s="42">
        <f t="shared" si="10"/>
        <v>0</v>
      </c>
      <c r="U16" s="39" t="e">
        <f t="shared" si="15"/>
        <v>#DIV/0!</v>
      </c>
      <c r="V16" s="41" t="e">
        <f t="shared" si="12"/>
        <v>#DIV/0!</v>
      </c>
      <c r="W16" s="44">
        <f>SUMIF(第三方!A:A,B16,第三方!L:L)</f>
        <v>0</v>
      </c>
      <c r="X16" s="44">
        <f>SUMIF(全部冷箱!A:A,B16,全部冷箱!M:M)</f>
        <v>0</v>
      </c>
      <c r="Y16" s="44"/>
      <c r="Z16" s="44">
        <f>SUMIF(全部冷箱!A:A,B16,全部冷箱!L:L)</f>
        <v>0</v>
      </c>
      <c r="AA16" s="3"/>
      <c r="AB16" s="3"/>
      <c r="AC16" s="3">
        <f t="array" ref="AC16">SUMIFS(第19周周填报数据!D:D,第19周周填报数据!B:B,B16,第19周周填报数据!F:F,"龙岗堆场新箱堆存费")/1.06+SUMIFS(第19周周填报数据!D:D,第19周周填报数据!B:B,B16,第19周周填报数据!F:F,"龙岗堆场新箱拖车费")/1.09</f>
        <v>0</v>
      </c>
      <c r="AD16" s="3"/>
      <c r="AE16" s="3">
        <f t="shared" si="17"/>
        <v>722</v>
      </c>
      <c r="AF16" s="39">
        <f t="shared" si="19"/>
        <v>232333.23</v>
      </c>
      <c r="AG16" s="43"/>
      <c r="AH16" s="3"/>
    </row>
    <row r="17" spans="1:34">
      <c r="A17" s="61"/>
      <c r="B17" s="6" t="s">
        <v>68</v>
      </c>
      <c r="C17" s="3">
        <f>SUMIF(COS!A:A,B17,COS!E:E)</f>
        <v>576</v>
      </c>
      <c r="D17" s="3">
        <f t="shared" si="2"/>
        <v>-67</v>
      </c>
      <c r="E17" s="39">
        <f>SUMIF(COS!A:A,B17,COS!I:I)+SUMIF(COS!A:A,B17,COS!J:J)</f>
        <v>140575.47</v>
      </c>
      <c r="F17" s="40">
        <f t="shared" si="3"/>
        <v>-19061</v>
      </c>
      <c r="G17" s="39">
        <f t="shared" si="18"/>
        <v>244.05</v>
      </c>
      <c r="H17" s="41">
        <f t="shared" si="5"/>
        <v>-0.017</v>
      </c>
      <c r="I17" s="3">
        <f>SUMIF(COS!A:A,B17,COS!L:L)</f>
        <v>32472.46</v>
      </c>
      <c r="J17" s="3">
        <f>SUMIF(OOCL!A:A,B17,OOCL!E:E)</f>
        <v>0</v>
      </c>
      <c r="K17" s="3">
        <f t="shared" si="6"/>
        <v>0</v>
      </c>
      <c r="L17" s="39">
        <f>SUMIF(OOCL!A:A,B17,OOCL!I:I)+SUMIF(OOCL!A:A,B17,OOCL!J:J)</f>
        <v>0</v>
      </c>
      <c r="M17" s="42">
        <f t="shared" si="7"/>
        <v>0</v>
      </c>
      <c r="N17" s="39" t="e">
        <f t="shared" si="14"/>
        <v>#DIV/0!</v>
      </c>
      <c r="O17" s="41" t="e">
        <f t="shared" si="8"/>
        <v>#DIV/0!</v>
      </c>
      <c r="P17" s="3">
        <f>SUMIF(OOCL!A:A,B17,OOCL!L:L)</f>
        <v>0</v>
      </c>
      <c r="Q17" s="3">
        <f>SUMIF(第三方!A:A,B17,第三方!E:E)</f>
        <v>0</v>
      </c>
      <c r="R17" s="3">
        <f t="shared" si="9"/>
        <v>0</v>
      </c>
      <c r="S17" s="43">
        <f>SUMIF(第三方!A:A,B17,第三方!I:I)+SUMIF(第三方!A:A,B17,第三方!J:J)</f>
        <v>0</v>
      </c>
      <c r="T17" s="42">
        <f t="shared" si="10"/>
        <v>0</v>
      </c>
      <c r="U17" s="39" t="e">
        <f t="shared" si="15"/>
        <v>#DIV/0!</v>
      </c>
      <c r="V17" s="41" t="e">
        <f t="shared" si="12"/>
        <v>#DIV/0!</v>
      </c>
      <c r="W17" s="44">
        <f>SUMIF(第三方!A:A,B17,第三方!L:L)</f>
        <v>0</v>
      </c>
      <c r="X17" s="44">
        <f>SUMIF(全部冷箱!A:A,B17,全部冷箱!M:M)</f>
        <v>0</v>
      </c>
      <c r="Y17" s="44"/>
      <c r="Z17" s="44">
        <f>SUMIF(全部冷箱!A:A,B17,全部冷箱!L:L)</f>
        <v>0</v>
      </c>
      <c r="AA17" s="3"/>
      <c r="AB17" s="3"/>
      <c r="AC17" s="3">
        <f t="array" ref="AC17">SUMIFS(第19周周填报数据!D:D,第19周周填报数据!B:B,B17,第19周周填报数据!F:F,"龙岗堆场新箱堆存费")/1.06+SUMIFS(第19周周填报数据!D:D,第19周周填报数据!B:B,B17,第19周周填报数据!F:F,"龙岗堆场新箱拖车费")/1.09</f>
        <v>0</v>
      </c>
      <c r="AD17" s="3"/>
      <c r="AE17" s="3">
        <f t="shared" si="17"/>
        <v>576</v>
      </c>
      <c r="AF17" s="39">
        <f t="shared" si="19"/>
        <v>173047.93</v>
      </c>
      <c r="AG17" s="43"/>
      <c r="AH17" s="3"/>
    </row>
    <row r="18" spans="1:34">
      <c r="A18" s="61"/>
      <c r="B18" s="6" t="s">
        <v>141</v>
      </c>
      <c r="C18" s="3">
        <f>SUMIF(COS!A:A,B18,COS!E:E)</f>
        <v>0</v>
      </c>
      <c r="D18" s="3">
        <f t="shared" si="2"/>
        <v>-5</v>
      </c>
      <c r="E18" s="39">
        <f>SUMIF(COS!A:A,B18,COS!I:I)+SUMIF(COS!A:A,B18,COS!J:J)</f>
        <v>0</v>
      </c>
      <c r="F18" s="40">
        <f t="shared" si="3"/>
        <v>-1500</v>
      </c>
      <c r="G18" s="39" t="e">
        <f t="shared" si="18"/>
        <v>#DIV/0!</v>
      </c>
      <c r="H18" s="41" t="e">
        <f t="shared" si="5"/>
        <v>#DIV/0!</v>
      </c>
      <c r="I18" s="3">
        <f>SUMIF(COS!A:A,B18,COS!L:L)</f>
        <v>0</v>
      </c>
      <c r="J18" s="3">
        <f>SUMIF(OOCL!A:A,B18,OOCL!E:E)</f>
        <v>0</v>
      </c>
      <c r="K18" s="3">
        <f t="shared" si="6"/>
        <v>0</v>
      </c>
      <c r="L18" s="39">
        <f>SUMIF(OOCL!A:A,B18,OOCL!I:I)+SUMIF(OOCL!A:A,B18,OOCL!J:J)</f>
        <v>0</v>
      </c>
      <c r="M18" s="42">
        <f t="shared" si="7"/>
        <v>0</v>
      </c>
      <c r="N18" s="39" t="e">
        <f t="shared" si="14"/>
        <v>#DIV/0!</v>
      </c>
      <c r="O18" s="41" t="e">
        <f t="shared" si="8"/>
        <v>#DIV/0!</v>
      </c>
      <c r="P18" s="3">
        <f>SUMIF(OOCL!A:A,B18,OOCL!L:L)</f>
        <v>0</v>
      </c>
      <c r="Q18" s="3">
        <f>SUMIF(第三方!A:A,B18,第三方!E:E)</f>
        <v>0</v>
      </c>
      <c r="R18" s="3">
        <f t="shared" si="9"/>
        <v>0</v>
      </c>
      <c r="S18" s="43">
        <f>SUMIF(第三方!A:A,B18,第三方!I:I)+SUMIF(第三方!A:A,B18,第三方!J:J)</f>
        <v>0</v>
      </c>
      <c r="T18" s="42">
        <f t="shared" si="10"/>
        <v>0</v>
      </c>
      <c r="U18" s="39" t="e">
        <f t="shared" si="15"/>
        <v>#DIV/0!</v>
      </c>
      <c r="V18" s="41" t="e">
        <f t="shared" si="12"/>
        <v>#DIV/0!</v>
      </c>
      <c r="W18" s="44">
        <f>SUMIF(第三方!A:A,B18,第三方!L:L)</f>
        <v>0</v>
      </c>
      <c r="X18" s="44">
        <f>SUMIF(全部冷箱!A:A,B18,全部冷箱!M:M)</f>
        <v>0</v>
      </c>
      <c r="Y18" s="44"/>
      <c r="Z18" s="44">
        <f>SUMIF(全部冷箱!A:A,B18,全部冷箱!L:L)</f>
        <v>0</v>
      </c>
      <c r="AA18" s="3"/>
      <c r="AB18" s="3"/>
      <c r="AC18" s="3">
        <f t="array" ref="AC18">SUMIFS(第19周周填报数据!D:D,第19周周填报数据!B:B,B18,第19周周填报数据!F:F,"龙岗堆场新箱堆存费")/1.06+SUMIFS(第19周周填报数据!D:D,第19周周填报数据!B:B,B18,第19周周填报数据!F:F,"龙岗堆场新箱拖车费")/1.09</f>
        <v>0</v>
      </c>
      <c r="AD18" s="3"/>
      <c r="AE18" s="3">
        <f t="shared" si="17"/>
        <v>0</v>
      </c>
      <c r="AF18" s="39">
        <f t="shared" si="19"/>
        <v>0</v>
      </c>
      <c r="AG18" s="43"/>
      <c r="AH18" s="3"/>
    </row>
    <row r="19" spans="1:34">
      <c r="A19" s="61"/>
      <c r="B19" s="6" t="s">
        <v>143</v>
      </c>
      <c r="C19" s="3">
        <f>SUMIF(COS!A:A,B19,COS!E:E)</f>
        <v>497</v>
      </c>
      <c r="D19" s="3">
        <f t="shared" si="2"/>
        <v>-286</v>
      </c>
      <c r="E19" s="39">
        <f>SUMIF(COS!A:A,B19,COS!I:I)+SUMIF(COS!A:A,B19,COS!J:J)</f>
        <v>75006.82</v>
      </c>
      <c r="F19" s="40">
        <f t="shared" si="3"/>
        <v>-42529</v>
      </c>
      <c r="G19" s="39">
        <f t="shared" si="18"/>
        <v>150.92</v>
      </c>
      <c r="H19" s="41">
        <f t="shared" si="5"/>
        <v>0.0054</v>
      </c>
      <c r="I19" s="3">
        <f>SUMIF(COS!A:A,B19,COS!L:L)</f>
        <v>27222.69</v>
      </c>
      <c r="J19" s="3">
        <f>SUMIF(OOCL!A:A,B19,OOCL!E:E)</f>
        <v>10</v>
      </c>
      <c r="K19" s="3">
        <f t="shared" si="6"/>
        <v>-1</v>
      </c>
      <c r="L19" s="39">
        <f>SUMIF(OOCL!A:A,B19,OOCL!I:I)+SUMIF(OOCL!A:A,B19,OOCL!J:J)</f>
        <v>2186.12</v>
      </c>
      <c r="M19" s="42">
        <f t="shared" si="7"/>
        <v>-282</v>
      </c>
      <c r="N19" s="39">
        <f t="shared" si="14"/>
        <v>218.61</v>
      </c>
      <c r="O19" s="41">
        <f t="shared" si="8"/>
        <v>-0.0258</v>
      </c>
      <c r="P19" s="3">
        <f>SUMIF(OOCL!A:A,B19,OOCL!L:L)</f>
        <v>594.34</v>
      </c>
      <c r="Q19" s="3">
        <f>SUMIF(第三方!A:A,B19,第三方!E:E)</f>
        <v>0</v>
      </c>
      <c r="R19" s="3">
        <f t="shared" si="9"/>
        <v>0</v>
      </c>
      <c r="S19" s="43">
        <f>SUMIF(第三方!A:A,B19,第三方!I:I)+SUMIF(第三方!A:A,B19,第三方!J:J)</f>
        <v>0</v>
      </c>
      <c r="T19" s="42">
        <f t="shared" si="10"/>
        <v>0</v>
      </c>
      <c r="U19" s="39" t="e">
        <f t="shared" si="15"/>
        <v>#DIV/0!</v>
      </c>
      <c r="V19" s="41" t="e">
        <f t="shared" si="12"/>
        <v>#DIV/0!</v>
      </c>
      <c r="W19" s="44">
        <f>SUMIF(第三方!A:A,B19,第三方!L:L)</f>
        <v>0</v>
      </c>
      <c r="X19" s="44">
        <f>SUMIF(全部冷箱!A:A,B19,全部冷箱!M:M)</f>
        <v>0</v>
      </c>
      <c r="Y19" s="44"/>
      <c r="Z19" s="44">
        <f>SUMIF(全部冷箱!A:A,B19,全部冷箱!L:L)</f>
        <v>0</v>
      </c>
      <c r="AA19" s="3"/>
      <c r="AB19" s="3"/>
      <c r="AC19" s="3">
        <f t="array" ref="AC19">SUMIFS(第19周周填报数据!D:D,第19周周填报数据!B:B,B19,第19周周填报数据!F:F,"龙岗堆场新箱堆存费")/1.06+SUMIFS(第19周周填报数据!D:D,第19周周填报数据!B:B,B19,第19周周填报数据!F:F,"龙岗堆场新箱拖车费")/1.09</f>
        <v>0</v>
      </c>
      <c r="AD19" s="3"/>
      <c r="AE19" s="3">
        <f t="shared" si="17"/>
        <v>507</v>
      </c>
      <c r="AF19" s="39">
        <f t="shared" si="19"/>
        <v>105009.97</v>
      </c>
      <c r="AG19" s="43"/>
      <c r="AH19" s="3"/>
    </row>
    <row r="20" spans="1:34">
      <c r="A20" s="61"/>
      <c r="B20" s="6" t="s">
        <v>151</v>
      </c>
      <c r="C20" s="3">
        <f>SUMIF(COS!A:A,B20,COS!E:E)</f>
        <v>94</v>
      </c>
      <c r="D20" s="3">
        <f t="shared" si="2"/>
        <v>-67</v>
      </c>
      <c r="E20" s="39">
        <f>SUMIF(COS!A:A,B20,COS!I:I)+SUMIF(COS!A:A,B20,COS!J:J)</f>
        <v>13838.93</v>
      </c>
      <c r="F20" s="40">
        <f t="shared" si="3"/>
        <v>-11268</v>
      </c>
      <c r="G20" s="39">
        <f t="shared" si="18"/>
        <v>147.22</v>
      </c>
      <c r="H20" s="41">
        <f t="shared" si="5"/>
        <v>-0.056</v>
      </c>
      <c r="I20" s="3">
        <f>SUMIF(COS!A:A,B20,COS!L:L)</f>
        <v>0</v>
      </c>
      <c r="J20" s="3">
        <f>SUMIF(OOCL!A:A,B20,OOCL!E:E)</f>
        <v>0</v>
      </c>
      <c r="K20" s="3">
        <f t="shared" si="6"/>
        <v>0</v>
      </c>
      <c r="L20" s="39">
        <f>SUMIF(OOCL!A:A,B20,OOCL!I:I)+SUMIF(OOCL!A:A,B20,OOCL!J:J)</f>
        <v>0</v>
      </c>
      <c r="M20" s="42">
        <f t="shared" si="7"/>
        <v>0</v>
      </c>
      <c r="N20" s="39" t="e">
        <f t="shared" si="14"/>
        <v>#DIV/0!</v>
      </c>
      <c r="O20" s="41" t="e">
        <f t="shared" si="8"/>
        <v>#DIV/0!</v>
      </c>
      <c r="P20" s="3">
        <f>SUMIF(OOCL!A:A,B20,OOCL!L:L)</f>
        <v>0</v>
      </c>
      <c r="Q20" s="3">
        <f>SUMIF(第三方!A:A,B20,第三方!E:E)</f>
        <v>0</v>
      </c>
      <c r="R20" s="3">
        <f t="shared" si="9"/>
        <v>0</v>
      </c>
      <c r="S20" s="43">
        <f>SUMIF(第三方!A:A,B20,第三方!I:I)+SUMIF(第三方!A:A,B20,第三方!J:J)</f>
        <v>0</v>
      </c>
      <c r="T20" s="42">
        <f t="shared" si="10"/>
        <v>0</v>
      </c>
      <c r="U20" s="39" t="e">
        <f t="shared" si="15"/>
        <v>#DIV/0!</v>
      </c>
      <c r="V20" s="41" t="e">
        <f t="shared" si="12"/>
        <v>#DIV/0!</v>
      </c>
      <c r="W20" s="44">
        <f>SUMIF(第三方!A:A,B20,第三方!L:L)</f>
        <v>0</v>
      </c>
      <c r="X20" s="44">
        <f>SUMIF(全部冷箱!A:A,B20,全部冷箱!M:M)</f>
        <v>0</v>
      </c>
      <c r="Y20" s="44"/>
      <c r="Z20" s="44">
        <f>SUMIF(全部冷箱!A:A,B20,全部冷箱!L:L)</f>
        <v>0</v>
      </c>
      <c r="AA20" s="3"/>
      <c r="AB20" s="3"/>
      <c r="AC20" s="3">
        <f t="array" ref="AC20">SUMIFS(第19周周填报数据!D:D,第19周周填报数据!B:B,B20,第19周周填报数据!F:F,"龙岗堆场新箱堆存费")/1.06+SUMIFS(第19周周填报数据!D:D,第19周周填报数据!B:B,B20,第19周周填报数据!F:F,"龙岗堆场新箱拖车费")/1.09</f>
        <v>0</v>
      </c>
      <c r="AD20" s="3"/>
      <c r="AE20" s="3">
        <f t="shared" si="17"/>
        <v>94</v>
      </c>
      <c r="AF20" s="39">
        <f t="shared" si="19"/>
        <v>13838.93</v>
      </c>
      <c r="AG20" s="43"/>
      <c r="AH20" s="3"/>
    </row>
    <row r="21" spans="1:34">
      <c r="A21" s="61"/>
      <c r="B21" s="6" t="s">
        <v>153</v>
      </c>
      <c r="C21" s="3">
        <f>SUMIF(COS!A:A,B21,COS!E:E)</f>
        <v>133</v>
      </c>
      <c r="D21" s="3">
        <f t="shared" si="2"/>
        <v>-64</v>
      </c>
      <c r="E21" s="39">
        <f>SUMIF(COS!A:A,B21,COS!I:I)+SUMIF(COS!A:A,B21,COS!J:J)</f>
        <v>22860.85</v>
      </c>
      <c r="F21" s="40">
        <f t="shared" si="3"/>
        <v>-14068</v>
      </c>
      <c r="G21" s="39">
        <f t="shared" si="18"/>
        <v>171.89</v>
      </c>
      <c r="H21" s="41">
        <f t="shared" si="5"/>
        <v>-0.0831</v>
      </c>
      <c r="I21" s="3">
        <f>SUMIF(COS!A:A,B21,COS!L:L)</f>
        <v>7542.61</v>
      </c>
      <c r="J21" s="3">
        <f>SUMIF(OOCL!A:A,B21,OOCL!E:E)</f>
        <v>0</v>
      </c>
      <c r="K21" s="3">
        <f t="shared" si="6"/>
        <v>0</v>
      </c>
      <c r="L21" s="39">
        <f>SUMIF(OOCL!A:A,B21,OOCL!I:I)+SUMIF(OOCL!A:A,B21,OOCL!J:J)</f>
        <v>0</v>
      </c>
      <c r="M21" s="42">
        <f t="shared" si="7"/>
        <v>0</v>
      </c>
      <c r="N21" s="39" t="e">
        <f t="shared" si="14"/>
        <v>#DIV/0!</v>
      </c>
      <c r="O21" s="41" t="e">
        <f t="shared" si="8"/>
        <v>#DIV/0!</v>
      </c>
      <c r="P21" s="3">
        <f>SUMIF(OOCL!A:A,B21,OOCL!L:L)</f>
        <v>0</v>
      </c>
      <c r="Q21" s="3">
        <f>SUMIF(第三方!A:A,B21,第三方!E:E)</f>
        <v>0</v>
      </c>
      <c r="R21" s="3">
        <f t="shared" si="9"/>
        <v>0</v>
      </c>
      <c r="S21" s="43">
        <f>SUMIF(第三方!A:A,B21,第三方!I:I)+SUMIF(第三方!A:A,B21,第三方!J:J)</f>
        <v>0</v>
      </c>
      <c r="T21" s="42">
        <f t="shared" si="10"/>
        <v>0</v>
      </c>
      <c r="U21" s="39" t="e">
        <f t="shared" si="15"/>
        <v>#DIV/0!</v>
      </c>
      <c r="V21" s="41" t="e">
        <f t="shared" si="12"/>
        <v>#DIV/0!</v>
      </c>
      <c r="W21" s="44">
        <f>SUMIF(第三方!A:A,B21,第三方!L:L)</f>
        <v>0</v>
      </c>
      <c r="X21" s="44">
        <f>SUMIF(全部冷箱!A:A,B21,全部冷箱!M:M)</f>
        <v>0</v>
      </c>
      <c r="Y21" s="44"/>
      <c r="Z21" s="44">
        <f>SUMIF(全部冷箱!A:A,B21,全部冷箱!L:L)</f>
        <v>0</v>
      </c>
      <c r="AA21" s="3"/>
      <c r="AB21" s="3"/>
      <c r="AC21" s="3">
        <f t="array" ref="AC21">SUMIFS(第19周周填报数据!D:D,第19周周填报数据!B:B,B21,第19周周填报数据!F:F,"龙岗堆场新箱堆存费")/1.06+SUMIFS(第19周周填报数据!D:D,第19周周填报数据!B:B,B21,第19周周填报数据!F:F,"龙岗堆场新箱拖车费")/1.09</f>
        <v>0</v>
      </c>
      <c r="AD21" s="3"/>
      <c r="AE21" s="3">
        <f t="shared" si="17"/>
        <v>133</v>
      </c>
      <c r="AF21" s="39">
        <f t="shared" si="19"/>
        <v>30403.46</v>
      </c>
      <c r="AG21" s="43"/>
      <c r="AH21" s="3"/>
    </row>
    <row r="22" spans="1:34">
      <c r="A22" s="61"/>
      <c r="B22" s="6" t="s">
        <v>85</v>
      </c>
      <c r="C22" s="3">
        <f>SUMIF(COS!A:A,B22,COS!E:E)</f>
        <v>329</v>
      </c>
      <c r="D22" s="3">
        <f t="shared" si="2"/>
        <v>-412</v>
      </c>
      <c r="E22" s="39">
        <f>SUMIF(COS!A:A,B22,COS!I:I)+SUMIF(COS!A:A,B22,COS!J:J)</f>
        <v>104072.59</v>
      </c>
      <c r="F22" s="40">
        <f t="shared" si="3"/>
        <v>-141771</v>
      </c>
      <c r="G22" s="39">
        <f t="shared" si="18"/>
        <v>316.33</v>
      </c>
      <c r="H22" s="41">
        <f t="shared" si="5"/>
        <v>-0.0465</v>
      </c>
      <c r="I22" s="3">
        <f>SUMIF(COS!A:A,B22,COS!L:L)</f>
        <v>0</v>
      </c>
      <c r="J22" s="3">
        <f>SUMIF(OOCL!A:A,B22,OOCL!E:E)</f>
        <v>0</v>
      </c>
      <c r="K22" s="3">
        <f t="shared" si="6"/>
        <v>0</v>
      </c>
      <c r="L22" s="39">
        <f>SUMIF(OOCL!A:A,B22,OOCL!I:I)+SUMIF(OOCL!A:A,B22,OOCL!J:J)</f>
        <v>0</v>
      </c>
      <c r="M22" s="42">
        <f t="shared" si="7"/>
        <v>0</v>
      </c>
      <c r="N22" s="39" t="e">
        <f t="shared" si="14"/>
        <v>#DIV/0!</v>
      </c>
      <c r="O22" s="41" t="e">
        <f t="shared" si="8"/>
        <v>#DIV/0!</v>
      </c>
      <c r="P22" s="3">
        <f>SUMIF(OOCL!A:A,B22,OOCL!L:L)</f>
        <v>0</v>
      </c>
      <c r="Q22" s="3">
        <f>SUMIF(第三方!A:A,B22,第三方!E:E)</f>
        <v>0</v>
      </c>
      <c r="R22" s="3">
        <f t="shared" si="9"/>
        <v>0</v>
      </c>
      <c r="S22" s="43">
        <f>SUMIF(第三方!A:A,B22,第三方!I:I)+SUMIF(第三方!A:A,B22,第三方!J:J)</f>
        <v>0</v>
      </c>
      <c r="T22" s="42">
        <f t="shared" si="10"/>
        <v>0</v>
      </c>
      <c r="U22" s="39" t="e">
        <f t="shared" si="15"/>
        <v>#DIV/0!</v>
      </c>
      <c r="V22" s="41" t="e">
        <f t="shared" si="12"/>
        <v>#DIV/0!</v>
      </c>
      <c r="W22" s="44">
        <f>SUMIF(第三方!A:A,B22,第三方!L:L)</f>
        <v>0</v>
      </c>
      <c r="X22" s="44">
        <f>SUMIF(全部冷箱!A:A,B22,全部冷箱!M:M)</f>
        <v>0</v>
      </c>
      <c r="Y22" s="44"/>
      <c r="Z22" s="44">
        <f>SUMIF(全部冷箱!A:A,B22,全部冷箱!L:L)</f>
        <v>0</v>
      </c>
      <c r="AA22" s="3"/>
      <c r="AB22" s="3"/>
      <c r="AC22" s="3">
        <f t="array" ref="AC22">SUMIFS(第19周周填报数据!D:D,第19周周填报数据!B:B,B22,第19周周填报数据!F:F,"龙岗堆场新箱堆存费")/1.06+SUMIFS(第19周周填报数据!D:D,第19周周填报数据!B:B,B22,第19周周填报数据!F:F,"龙岗堆场新箱拖车费")/1.09</f>
        <v>0</v>
      </c>
      <c r="AD22" s="3"/>
      <c r="AE22" s="3">
        <f t="shared" si="17"/>
        <v>329</v>
      </c>
      <c r="AF22" s="39">
        <f t="shared" si="19"/>
        <v>104072.59</v>
      </c>
      <c r="AG22" s="43"/>
      <c r="AH22" s="3"/>
    </row>
    <row r="23" spans="1:34">
      <c r="A23" s="61"/>
      <c r="B23" s="6" t="s">
        <v>156</v>
      </c>
      <c r="C23" s="3">
        <f>SUMIF(COS!A:A,B23,COS!E:E)</f>
        <v>0</v>
      </c>
      <c r="D23" s="3">
        <f t="shared" si="2"/>
        <v>-5</v>
      </c>
      <c r="E23" s="39">
        <f>SUMIF(COS!A:A,B23,COS!I:I)+SUMIF(COS!A:A,B23,COS!J:J)</f>
        <v>0</v>
      </c>
      <c r="F23" s="40">
        <f t="shared" si="3"/>
        <v>-1899</v>
      </c>
      <c r="G23" s="39" t="e">
        <f t="shared" si="18"/>
        <v>#DIV/0!</v>
      </c>
      <c r="H23" s="41" t="e">
        <f t="shared" si="5"/>
        <v>#DIV/0!</v>
      </c>
      <c r="I23" s="3">
        <f>SUMIF(COS!A:A,B23,COS!L:L)</f>
        <v>0</v>
      </c>
      <c r="J23" s="3">
        <f>SUMIF(OOCL!A:A,B23,OOCL!E:E)</f>
        <v>0</v>
      </c>
      <c r="K23" s="3">
        <f t="shared" si="6"/>
        <v>0</v>
      </c>
      <c r="L23" s="39">
        <f>SUMIF(OOCL!A:A,B23,OOCL!I:I)+SUMIF(OOCL!A:A,B23,OOCL!J:J)</f>
        <v>0</v>
      </c>
      <c r="M23" s="42">
        <f t="shared" si="7"/>
        <v>0</v>
      </c>
      <c r="N23" s="39" t="e">
        <f t="shared" si="14"/>
        <v>#DIV/0!</v>
      </c>
      <c r="O23" s="41" t="e">
        <f t="shared" si="8"/>
        <v>#DIV/0!</v>
      </c>
      <c r="P23" s="3">
        <f>SUMIF(OOCL!A:A,B23,OOCL!L:L)</f>
        <v>0</v>
      </c>
      <c r="Q23" s="3">
        <f>SUMIF(第三方!A:A,B23,第三方!E:E)</f>
        <v>0</v>
      </c>
      <c r="R23" s="3">
        <f t="shared" si="9"/>
        <v>0</v>
      </c>
      <c r="S23" s="43">
        <f>SUMIF(第三方!A:A,B23,第三方!I:I)+SUMIF(第三方!A:A,B23,第三方!J:J)</f>
        <v>0</v>
      </c>
      <c r="T23" s="42">
        <f t="shared" si="10"/>
        <v>0</v>
      </c>
      <c r="U23" s="39" t="e">
        <f t="shared" si="15"/>
        <v>#DIV/0!</v>
      </c>
      <c r="V23" s="41" t="e">
        <f t="shared" si="12"/>
        <v>#DIV/0!</v>
      </c>
      <c r="W23" s="44">
        <f>SUMIF(第三方!A:A,B23,第三方!L:L)</f>
        <v>0</v>
      </c>
      <c r="X23" s="44">
        <f>SUMIF(全部冷箱!A:A,B23,全部冷箱!M:M)</f>
        <v>0</v>
      </c>
      <c r="Y23" s="44"/>
      <c r="Z23" s="44">
        <f>SUMIF(全部冷箱!A:A,B23,全部冷箱!L:L)</f>
        <v>0</v>
      </c>
      <c r="AA23" s="3"/>
      <c r="AB23" s="3"/>
      <c r="AC23" s="3">
        <f t="array" ref="AC23">SUMIFS(第19周周填报数据!D:D,第19周周填报数据!B:B,B23,第19周周填报数据!F:F,"龙岗堆场新箱堆存费")/1.06+SUMIFS(第19周周填报数据!D:D,第19周周填报数据!B:B,B23,第19周周填报数据!F:F,"龙岗堆场新箱拖车费")/1.09</f>
        <v>0</v>
      </c>
      <c r="AD23" s="3"/>
      <c r="AE23" s="3">
        <f t="shared" si="17"/>
        <v>0</v>
      </c>
      <c r="AF23" s="39">
        <f t="shared" si="19"/>
        <v>0</v>
      </c>
      <c r="AG23" s="43"/>
      <c r="AH23" s="3"/>
    </row>
    <row r="24" spans="1:34">
      <c r="A24" s="61"/>
      <c r="B24" s="6" t="s">
        <v>158</v>
      </c>
      <c r="C24" s="3">
        <f>SUMIF(COS!A:A,B24,COS!E:E)</f>
        <v>69</v>
      </c>
      <c r="D24" s="3">
        <f t="shared" si="2"/>
        <v>-2</v>
      </c>
      <c r="E24" s="39">
        <f>SUMIF(COS!A:A,B24,COS!I:I)+SUMIF(COS!A:A,B24,COS!J:J)</f>
        <v>13299.35</v>
      </c>
      <c r="F24" s="40">
        <f t="shared" si="3"/>
        <v>-3727</v>
      </c>
      <c r="G24" s="39">
        <f t="shared" si="18"/>
        <v>192.74</v>
      </c>
      <c r="H24" s="41">
        <f t="shared" si="5"/>
        <v>-0.1962</v>
      </c>
      <c r="I24" s="3">
        <f>SUMIF(COS!A:A,B24,COS!L:L)</f>
        <v>3580.41</v>
      </c>
      <c r="J24" s="3">
        <f>SUMIF(OOCL!A:A,B24,OOCL!E:E)</f>
        <v>0</v>
      </c>
      <c r="K24" s="3">
        <f t="shared" si="6"/>
        <v>0</v>
      </c>
      <c r="L24" s="39">
        <f>SUMIF(OOCL!A:A,B24,OOCL!I:I)+SUMIF(OOCL!A:A,B24,OOCL!J:J)</f>
        <v>0</v>
      </c>
      <c r="M24" s="42">
        <f t="shared" si="7"/>
        <v>0</v>
      </c>
      <c r="N24" s="39" t="e">
        <f t="shared" si="14"/>
        <v>#DIV/0!</v>
      </c>
      <c r="O24" s="41" t="e">
        <f t="shared" si="8"/>
        <v>#DIV/0!</v>
      </c>
      <c r="P24" s="3">
        <f>SUMIF(OOCL!A:A,B24,OOCL!L:L)</f>
        <v>0</v>
      </c>
      <c r="Q24" s="3">
        <f>SUMIF(第三方!A:A,B24,第三方!E:E)</f>
        <v>0</v>
      </c>
      <c r="R24" s="3">
        <f t="shared" si="9"/>
        <v>0</v>
      </c>
      <c r="S24" s="43">
        <f>SUMIF(第三方!A:A,B24,第三方!I:I)+SUMIF(第三方!A:A,B24,第三方!J:J)</f>
        <v>0</v>
      </c>
      <c r="T24" s="42">
        <f t="shared" si="10"/>
        <v>0</v>
      </c>
      <c r="U24" s="39" t="e">
        <f t="shared" si="15"/>
        <v>#DIV/0!</v>
      </c>
      <c r="V24" s="41" t="e">
        <f t="shared" si="12"/>
        <v>#DIV/0!</v>
      </c>
      <c r="W24" s="44">
        <f>SUMIF(第三方!A:A,B24,第三方!L:L)</f>
        <v>0</v>
      </c>
      <c r="X24" s="44">
        <f>SUMIF(全部冷箱!A:A,B24,全部冷箱!M:M)</f>
        <v>0</v>
      </c>
      <c r="Y24" s="44"/>
      <c r="Z24" s="44">
        <f>SUMIF(全部冷箱!A:A,B24,全部冷箱!L:L)</f>
        <v>0</v>
      </c>
      <c r="AA24" s="3"/>
      <c r="AB24" s="3"/>
      <c r="AC24" s="3">
        <f t="array" ref="AC24">SUMIFS(第19周周填报数据!D:D,第19周周填报数据!B:B,B24,第19周周填报数据!F:F,"龙岗堆场新箱堆存费")/1.06+SUMIFS(第19周周填报数据!D:D,第19周周填报数据!B:B,B24,第19周周填报数据!F:F,"龙岗堆场新箱拖车费")/1.09</f>
        <v>0</v>
      </c>
      <c r="AD24" s="3"/>
      <c r="AE24" s="3">
        <f t="shared" si="17"/>
        <v>69</v>
      </c>
      <c r="AF24" s="39">
        <f t="shared" si="19"/>
        <v>16879.76</v>
      </c>
      <c r="AG24" s="43"/>
      <c r="AH24" s="3"/>
    </row>
    <row r="25" spans="1:34">
      <c r="A25" s="61"/>
      <c r="B25" s="6" t="s">
        <v>161</v>
      </c>
      <c r="C25" s="3">
        <f>SUMIF(COS!A:A,B25,COS!E:E)</f>
        <v>76</v>
      </c>
      <c r="D25" s="3">
        <f t="shared" si="2"/>
        <v>-4</v>
      </c>
      <c r="E25" s="39">
        <f>SUMIF(COS!A:A,B25,COS!I:I)+SUMIF(COS!A:A,B25,COS!J:J)</f>
        <v>31207.73</v>
      </c>
      <c r="F25" s="40">
        <f t="shared" si="3"/>
        <v>2423</v>
      </c>
      <c r="G25" s="39">
        <f t="shared" si="18"/>
        <v>410.63</v>
      </c>
      <c r="H25" s="41">
        <f t="shared" si="5"/>
        <v>0.1413</v>
      </c>
      <c r="I25" s="3">
        <f>SUMIF(COS!A:A,B25,COS!L:L)</f>
        <v>3943.64</v>
      </c>
      <c r="J25" s="3">
        <f>SUMIF(OOCL!A:A,B25,OOCL!E:E)</f>
        <v>0</v>
      </c>
      <c r="K25" s="3">
        <f t="shared" si="6"/>
        <v>0</v>
      </c>
      <c r="L25" s="39">
        <f>SUMIF(OOCL!A:A,B25,OOCL!I:I)+SUMIF(OOCL!A:A,B25,OOCL!J:J)</f>
        <v>0</v>
      </c>
      <c r="M25" s="42">
        <f t="shared" si="7"/>
        <v>0</v>
      </c>
      <c r="N25" s="39" t="e">
        <f t="shared" si="14"/>
        <v>#DIV/0!</v>
      </c>
      <c r="O25" s="41" t="e">
        <f t="shared" si="8"/>
        <v>#DIV/0!</v>
      </c>
      <c r="P25" s="3">
        <f>SUMIF(OOCL!A:A,B25,OOCL!L:L)</f>
        <v>0</v>
      </c>
      <c r="Q25" s="3">
        <f>SUMIF(第三方!A:A,B25,第三方!E:E)</f>
        <v>0</v>
      </c>
      <c r="R25" s="3">
        <f t="shared" si="9"/>
        <v>0</v>
      </c>
      <c r="S25" s="43">
        <f>SUMIF(第三方!A:A,B25,第三方!I:I)+SUMIF(第三方!A:A,B25,第三方!J:J)</f>
        <v>0</v>
      </c>
      <c r="T25" s="42">
        <f t="shared" si="10"/>
        <v>0</v>
      </c>
      <c r="U25" s="39" t="e">
        <f t="shared" si="15"/>
        <v>#DIV/0!</v>
      </c>
      <c r="V25" s="41" t="e">
        <f t="shared" si="12"/>
        <v>#DIV/0!</v>
      </c>
      <c r="W25" s="44">
        <f>SUMIF(第三方!A:A,B25,第三方!L:L)</f>
        <v>0</v>
      </c>
      <c r="X25" s="44">
        <f>SUMIF(全部冷箱!A:A,B25,全部冷箱!M:M)</f>
        <v>0</v>
      </c>
      <c r="Y25" s="44"/>
      <c r="Z25" s="44">
        <f>SUMIF(全部冷箱!A:A,B25,全部冷箱!L:L)</f>
        <v>0</v>
      </c>
      <c r="AA25" s="3"/>
      <c r="AB25" s="3"/>
      <c r="AC25" s="3">
        <f t="array" ref="AC25">SUMIFS(第19周周填报数据!D:D,第19周周填报数据!B:B,B25,第19周周填报数据!F:F,"龙岗堆场新箱堆存费")/1.06+SUMIFS(第19周周填报数据!D:D,第19周周填报数据!B:B,B25,第19周周填报数据!F:F,"龙岗堆场新箱拖车费")/1.09</f>
        <v>0</v>
      </c>
      <c r="AD25" s="3"/>
      <c r="AE25" s="3">
        <f t="shared" si="17"/>
        <v>76</v>
      </c>
      <c r="AF25" s="39">
        <f t="shared" si="19"/>
        <v>35151.37</v>
      </c>
      <c r="AG25" s="43"/>
      <c r="AH25" s="3"/>
    </row>
    <row r="26" spans="1:34">
      <c r="A26" s="61"/>
      <c r="B26" s="6" t="s">
        <v>14</v>
      </c>
      <c r="C26" s="3">
        <f>SUMIF(COS!A:A,B26,COS!E:E)</f>
        <v>174</v>
      </c>
      <c r="D26" s="3">
        <f t="shared" si="2"/>
        <v>-67</v>
      </c>
      <c r="E26" s="39">
        <f>SUMIF(COS!A:A,B26,COS!I:I)+SUMIF(COS!A:A,B26,COS!J:J)</f>
        <v>65932.08</v>
      </c>
      <c r="F26" s="40">
        <f t="shared" si="3"/>
        <v>-20997</v>
      </c>
      <c r="G26" s="39">
        <f t="shared" si="18"/>
        <v>378.92</v>
      </c>
      <c r="H26" s="41">
        <f t="shared" si="5"/>
        <v>0.0505</v>
      </c>
      <c r="I26" s="3">
        <f>SUMIF(COS!A:A,B26,COS!L:L)</f>
        <v>0</v>
      </c>
      <c r="J26" s="3">
        <f>SUMIF(OOCL!A:A,B26,OOCL!E:E)</f>
        <v>194</v>
      </c>
      <c r="K26" s="3">
        <f t="shared" si="6"/>
        <v>-97</v>
      </c>
      <c r="L26" s="39">
        <f>SUMIF(OOCL!A:A,B26,OOCL!I:I)+SUMIF(OOCL!A:A,B26,OOCL!J:J)</f>
        <v>26138.4</v>
      </c>
      <c r="M26" s="42">
        <f t="shared" si="7"/>
        <v>-21358</v>
      </c>
      <c r="N26" s="39">
        <f t="shared" si="14"/>
        <v>134.73</v>
      </c>
      <c r="O26" s="41">
        <f t="shared" si="8"/>
        <v>-0.1745</v>
      </c>
      <c r="P26" s="3">
        <f>SUMIF(OOCL!A:A,B26,OOCL!L:L)</f>
        <v>0</v>
      </c>
      <c r="Q26" s="3">
        <f>SUMIF(第三方!A:A,B26,第三方!E:E)</f>
        <v>1</v>
      </c>
      <c r="R26" s="3">
        <f t="shared" si="9"/>
        <v>-4</v>
      </c>
      <c r="S26" s="43">
        <f>SUMIF(第三方!A:A,B26,第三方!I:I)+SUMIF(第三方!A:A,B26,第三方!J:J)</f>
        <v>440</v>
      </c>
      <c r="T26" s="42">
        <f t="shared" si="10"/>
        <v>-4882</v>
      </c>
      <c r="U26" s="39">
        <f t="shared" si="15"/>
        <v>440</v>
      </c>
      <c r="V26" s="41">
        <f t="shared" si="12"/>
        <v>-0.5866</v>
      </c>
      <c r="W26" s="44">
        <f>SUMIF(第三方!A:A,B26,第三方!L:L)</f>
        <v>0</v>
      </c>
      <c r="X26" s="44">
        <f>SUMIF(全部冷箱!A:A,B26,全部冷箱!M:M)</f>
        <v>0</v>
      </c>
      <c r="Y26" s="44"/>
      <c r="Z26" s="44">
        <f>SUMIF(全部冷箱!A:A,B26,全部冷箱!L:L)</f>
        <v>0</v>
      </c>
      <c r="AA26" s="3"/>
      <c r="AB26" s="3"/>
      <c r="AC26" s="3">
        <f t="array" ref="AC26">SUMIFS(第19周周填报数据!D:D,第19周周填报数据!B:B,B26,第19周周填报数据!F:F,"龙岗堆场新箱堆存费")/1.06+SUMIFS(第19周周填报数据!D:D,第19周周填报数据!B:B,B26,第19周周填报数据!F:F,"龙岗堆场新箱拖车费")/1.09</f>
        <v>0</v>
      </c>
      <c r="AD26" s="3"/>
      <c r="AE26" s="3">
        <f t="shared" si="17"/>
        <v>369</v>
      </c>
      <c r="AF26" s="39">
        <f t="shared" si="19"/>
        <v>92510.48</v>
      </c>
      <c r="AG26" s="43"/>
      <c r="AH26" s="3"/>
    </row>
    <row r="27" spans="1:34">
      <c r="A27" s="61"/>
      <c r="B27" s="6" t="s">
        <v>124</v>
      </c>
      <c r="C27" s="3">
        <f>SUMIF(COS!A:A,B27,COS!E:E)</f>
        <v>4</v>
      </c>
      <c r="D27" s="3">
        <f t="shared" si="2"/>
        <v>-12</v>
      </c>
      <c r="E27" s="39">
        <f>SUMIF(COS!A:A,B27,COS!I:I)+SUMIF(COS!A:A,B27,COS!J:J)</f>
        <v>1267.3</v>
      </c>
      <c r="F27" s="40">
        <f t="shared" si="3"/>
        <v>-1527</v>
      </c>
      <c r="G27" s="39">
        <f t="shared" si="18"/>
        <v>316.83</v>
      </c>
      <c r="H27" s="41">
        <f t="shared" si="5"/>
        <v>0.8143</v>
      </c>
      <c r="I27" s="3">
        <f>SUMIF(COS!A:A,B27,COS!L:L)</f>
        <v>207.56</v>
      </c>
      <c r="J27" s="3">
        <f>SUMIF(OOCL!A:A,B27,OOCL!E:E)</f>
        <v>0</v>
      </c>
      <c r="K27" s="3">
        <f t="shared" si="6"/>
        <v>0</v>
      </c>
      <c r="L27" s="39">
        <f>SUMIF(OOCL!A:A,B27,OOCL!I:I)+SUMIF(OOCL!A:A,B27,OOCL!J:J)</f>
        <v>0</v>
      </c>
      <c r="M27" s="42">
        <f t="shared" si="7"/>
        <v>0</v>
      </c>
      <c r="N27" s="39" t="e">
        <f t="shared" si="14"/>
        <v>#DIV/0!</v>
      </c>
      <c r="O27" s="41" t="e">
        <f t="shared" si="8"/>
        <v>#DIV/0!</v>
      </c>
      <c r="P27" s="3">
        <f>SUMIF(OOCL!A:A,B27,OOCL!L:L)</f>
        <v>0</v>
      </c>
      <c r="Q27" s="3">
        <f>SUMIF(第三方!A:A,B27,第三方!E:E)</f>
        <v>0</v>
      </c>
      <c r="R27" s="3">
        <f t="shared" si="9"/>
        <v>0</v>
      </c>
      <c r="S27" s="43">
        <f>SUMIF(第三方!A:A,B27,第三方!I:I)+SUMIF(第三方!A:A,B27,第三方!J:J)</f>
        <v>0</v>
      </c>
      <c r="T27" s="42">
        <f t="shared" si="10"/>
        <v>0</v>
      </c>
      <c r="U27" s="39" t="e">
        <f t="shared" si="15"/>
        <v>#DIV/0!</v>
      </c>
      <c r="V27" s="41" t="e">
        <f t="shared" si="12"/>
        <v>#DIV/0!</v>
      </c>
      <c r="W27" s="44">
        <f>SUMIF(第三方!A:A,B27,第三方!L:L)</f>
        <v>0</v>
      </c>
      <c r="X27" s="44">
        <f>SUMIF(全部冷箱!A:A,B27,全部冷箱!M:M)</f>
        <v>0</v>
      </c>
      <c r="Y27" s="44"/>
      <c r="Z27" s="44">
        <f>SUMIF(全部冷箱!A:A,B27,全部冷箱!L:L)</f>
        <v>0</v>
      </c>
      <c r="AA27" s="3"/>
      <c r="AB27" s="3"/>
      <c r="AC27" s="3">
        <f t="array" ref="AC27">SUMIFS(第19周周填报数据!D:D,第19周周填报数据!B:B,B27,第19周周填报数据!F:F,"龙岗堆场新箱堆存费")/1.06+SUMIFS(第19周周填报数据!D:D,第19周周填报数据!B:B,B27,第19周周填报数据!F:F,"龙岗堆场新箱拖车费")/1.09</f>
        <v>0</v>
      </c>
      <c r="AD27" s="3"/>
      <c r="AE27" s="3">
        <f t="shared" si="17"/>
        <v>4</v>
      </c>
      <c r="AF27" s="39">
        <f t="shared" si="19"/>
        <v>1474.86</v>
      </c>
      <c r="AG27" s="43"/>
      <c r="AH27" s="3"/>
    </row>
    <row r="28" spans="1:34">
      <c r="A28" s="61"/>
      <c r="B28" s="6" t="s">
        <v>165</v>
      </c>
      <c r="C28" s="3">
        <f>SUMIF(COS!A:A,B28,COS!E:E)</f>
        <v>39</v>
      </c>
      <c r="D28" s="3">
        <f t="shared" si="2"/>
        <v>-158</v>
      </c>
      <c r="E28" s="39">
        <f>SUMIF(COS!A:A,B28,COS!I:I)+SUMIF(COS!A:A,B28,COS!J:J)</f>
        <v>2976.91</v>
      </c>
      <c r="F28" s="40">
        <f t="shared" si="3"/>
        <v>-10567</v>
      </c>
      <c r="G28" s="39">
        <f t="shared" si="18"/>
        <v>76.33</v>
      </c>
      <c r="H28" s="41">
        <f t="shared" si="5"/>
        <v>0.1103</v>
      </c>
      <c r="I28" s="3">
        <f>SUMIF(COS!A:A,B28,COS!L:L)</f>
        <v>2080.29</v>
      </c>
      <c r="J28" s="3">
        <f>SUMIF(OOCL!A:A,B28,OOCL!E:E)</f>
        <v>0</v>
      </c>
      <c r="K28" s="3">
        <f t="shared" si="6"/>
        <v>0</v>
      </c>
      <c r="L28" s="39">
        <f>SUMIF(OOCL!A:A,B28,OOCL!I:I)+SUMIF(OOCL!A:A,B28,OOCL!J:J)</f>
        <v>0</v>
      </c>
      <c r="M28" s="42">
        <f t="shared" si="7"/>
        <v>0</v>
      </c>
      <c r="N28" s="39" t="e">
        <f t="shared" si="14"/>
        <v>#DIV/0!</v>
      </c>
      <c r="O28" s="41" t="e">
        <f t="shared" si="8"/>
        <v>#DIV/0!</v>
      </c>
      <c r="P28" s="3">
        <f>SUMIF(OOCL!A:A,B28,OOCL!L:L)</f>
        <v>0</v>
      </c>
      <c r="Q28" s="3">
        <f>SUMIF(第三方!A:A,B28,第三方!E:E)</f>
        <v>0</v>
      </c>
      <c r="R28" s="3">
        <f t="shared" si="9"/>
        <v>0</v>
      </c>
      <c r="S28" s="43">
        <f>SUMIF(第三方!A:A,B28,第三方!I:I)+SUMIF(第三方!A:A,B28,第三方!J:J)</f>
        <v>0</v>
      </c>
      <c r="T28" s="42">
        <f t="shared" si="10"/>
        <v>0</v>
      </c>
      <c r="U28" s="39" t="e">
        <f t="shared" si="15"/>
        <v>#DIV/0!</v>
      </c>
      <c r="V28" s="41" t="e">
        <f t="shared" si="12"/>
        <v>#DIV/0!</v>
      </c>
      <c r="W28" s="44">
        <f>SUMIF(第三方!A:A,B28,第三方!L:L)</f>
        <v>0</v>
      </c>
      <c r="X28" s="44">
        <f>SUMIF(全部冷箱!A:A,B28,全部冷箱!M:M)</f>
        <v>0</v>
      </c>
      <c r="Y28" s="44"/>
      <c r="Z28" s="44">
        <f>SUMIF(全部冷箱!A:A,B28,全部冷箱!L:L)</f>
        <v>0</v>
      </c>
      <c r="AA28" s="3"/>
      <c r="AB28" s="3"/>
      <c r="AC28" s="3">
        <f t="array" ref="AC28">SUMIFS(第19周周填报数据!D:D,第19周周填报数据!B:B,B28,第19周周填报数据!F:F,"龙岗堆场新箱堆存费")/1.06+SUMIFS(第19周周填报数据!D:D,第19周周填报数据!B:B,B28,第19周周填报数据!F:F,"龙岗堆场新箱拖车费")/1.09</f>
        <v>0</v>
      </c>
      <c r="AD28" s="3"/>
      <c r="AE28" s="3">
        <f t="shared" si="17"/>
        <v>39</v>
      </c>
      <c r="AF28" s="39">
        <f t="shared" si="19"/>
        <v>5057.2</v>
      </c>
      <c r="AG28" s="43"/>
      <c r="AH28" s="3"/>
    </row>
    <row r="29" spans="1:34">
      <c r="A29" s="61"/>
      <c r="B29" s="6" t="s">
        <v>147</v>
      </c>
      <c r="C29" s="3">
        <f>SUMIF(COS!A:A,B29,COS!E:E)</f>
        <v>524</v>
      </c>
      <c r="D29" s="3">
        <f t="shared" si="2"/>
        <v>75</v>
      </c>
      <c r="E29" s="39">
        <f>SUMIF(COS!A:A,B29,COS!I:I)+SUMIF(COS!A:A,B29,COS!J:J)</f>
        <v>107384.05</v>
      </c>
      <c r="F29" s="40">
        <f t="shared" si="3"/>
        <v>20218</v>
      </c>
      <c r="G29" s="39">
        <f t="shared" si="18"/>
        <v>204.93</v>
      </c>
      <c r="H29" s="41">
        <f t="shared" si="5"/>
        <v>0.0556</v>
      </c>
      <c r="I29" s="3">
        <f>SUMIF(COS!A:A,B29,COS!L:L)</f>
        <v>11052.57</v>
      </c>
      <c r="J29" s="3">
        <f>SUMIF(OOCL!A:A,B29,OOCL!E:E)</f>
        <v>0</v>
      </c>
      <c r="K29" s="3">
        <f t="shared" si="6"/>
        <v>0</v>
      </c>
      <c r="L29" s="39">
        <f>SUMIF(OOCL!A:A,B29,OOCL!I:I)+SUMIF(OOCL!A:A,B29,OOCL!J:J)</f>
        <v>0</v>
      </c>
      <c r="M29" s="42">
        <f t="shared" si="7"/>
        <v>0</v>
      </c>
      <c r="N29" s="39" t="e">
        <f t="shared" si="14"/>
        <v>#DIV/0!</v>
      </c>
      <c r="O29" s="41" t="e">
        <f t="shared" si="8"/>
        <v>#DIV/0!</v>
      </c>
      <c r="P29" s="3">
        <f>SUMIF(OOCL!A:A,B29,OOCL!L:L)</f>
        <v>0</v>
      </c>
      <c r="Q29" s="3">
        <f>SUMIF(第三方!A:A,B29,第三方!E:E)</f>
        <v>0</v>
      </c>
      <c r="R29" s="3">
        <f t="shared" si="9"/>
        <v>0</v>
      </c>
      <c r="S29" s="43">
        <f>SUMIF(第三方!A:A,B29,第三方!I:I)+SUMIF(第三方!A:A,B29,第三方!J:J)</f>
        <v>0</v>
      </c>
      <c r="T29" s="42">
        <f t="shared" si="10"/>
        <v>0</v>
      </c>
      <c r="U29" s="39" t="e">
        <f t="shared" si="15"/>
        <v>#DIV/0!</v>
      </c>
      <c r="V29" s="41" t="e">
        <f t="shared" si="12"/>
        <v>#DIV/0!</v>
      </c>
      <c r="W29" s="44">
        <f>SUMIF(第三方!A:A,B29,第三方!L:L)</f>
        <v>0</v>
      </c>
      <c r="X29" s="44">
        <f>SUMIF(全部冷箱!A:A,B29,全部冷箱!M:M)</f>
        <v>0</v>
      </c>
      <c r="Y29" s="44"/>
      <c r="Z29" s="44">
        <f>SUMIF(全部冷箱!A:A,B29,全部冷箱!L:L)</f>
        <v>0</v>
      </c>
      <c r="AA29" s="3"/>
      <c r="AB29" s="3"/>
      <c r="AC29" s="3">
        <f t="array" ref="AC29">SUMIFS(第19周周填报数据!D:D,第19周周填报数据!B:B,B29,第19周周填报数据!F:F,"龙岗堆场新箱堆存费")/1.06+SUMIFS(第19周周填报数据!D:D,第19周周填报数据!B:B,B29,第19周周填报数据!F:F,"龙岗堆场新箱拖车费")/1.09</f>
        <v>0</v>
      </c>
      <c r="AD29" s="3"/>
      <c r="AE29" s="3">
        <f t="shared" si="17"/>
        <v>524</v>
      </c>
      <c r="AF29" s="39">
        <f t="shared" si="19"/>
        <v>118436.62</v>
      </c>
      <c r="AG29" s="43"/>
      <c r="AH29" s="3"/>
    </row>
    <row r="30" spans="1:34">
      <c r="A30" s="62"/>
      <c r="B30" s="6" t="s">
        <v>170</v>
      </c>
      <c r="C30" s="3">
        <f>SUMIF(COS!A:A,B30,COS!E:E)</f>
        <v>55</v>
      </c>
      <c r="D30" s="3">
        <f t="shared" si="2"/>
        <v>23</v>
      </c>
      <c r="E30" s="39">
        <f>SUMIF(COS!A:A,B30,COS!I:I)+SUMIF(COS!A:A,B30,COS!J:J)</f>
        <v>16632.26</v>
      </c>
      <c r="F30" s="40">
        <f t="shared" si="3"/>
        <v>9050</v>
      </c>
      <c r="G30" s="39">
        <f t="shared" si="18"/>
        <v>302.4</v>
      </c>
      <c r="H30" s="41">
        <f t="shared" si="5"/>
        <v>0.2762</v>
      </c>
      <c r="I30" s="3">
        <f>SUMIF(COS!A:A,B30,COS!L:L)</f>
        <v>0</v>
      </c>
      <c r="J30" s="3">
        <f>SUMIF(OOCL!A:A,B30,OOCL!E:E)</f>
        <v>0</v>
      </c>
      <c r="K30" s="3">
        <f t="shared" si="6"/>
        <v>0</v>
      </c>
      <c r="L30" s="39">
        <f>SUMIF(OOCL!A:A,B30,OOCL!I:I)+SUMIF(OOCL!A:A,B30,OOCL!J:J)</f>
        <v>0</v>
      </c>
      <c r="M30" s="42">
        <f t="shared" si="7"/>
        <v>0</v>
      </c>
      <c r="N30" s="39" t="e">
        <f t="shared" si="14"/>
        <v>#DIV/0!</v>
      </c>
      <c r="O30" s="41" t="e">
        <f t="shared" si="8"/>
        <v>#DIV/0!</v>
      </c>
      <c r="P30" s="3">
        <f>SUMIF(OOCL!A:A,B30,OOCL!L:L)</f>
        <v>0</v>
      </c>
      <c r="Q30" s="3">
        <f>SUMIF(第三方!A:A,B30,第三方!E:E)</f>
        <v>0</v>
      </c>
      <c r="R30" s="3">
        <f t="shared" si="9"/>
        <v>0</v>
      </c>
      <c r="S30" s="43">
        <f>SUMIF(第三方!A:A,B30,第三方!I:I)+SUMIF(第三方!A:A,B30,第三方!J:J)</f>
        <v>0</v>
      </c>
      <c r="T30" s="42">
        <f t="shared" si="10"/>
        <v>0</v>
      </c>
      <c r="U30" s="39" t="e">
        <f t="shared" si="15"/>
        <v>#DIV/0!</v>
      </c>
      <c r="V30" s="41" t="e">
        <f t="shared" si="12"/>
        <v>#DIV/0!</v>
      </c>
      <c r="W30" s="44">
        <f>SUMIF(第三方!A:A,B30,第三方!L:L)</f>
        <v>0</v>
      </c>
      <c r="X30" s="44">
        <f>SUMIF(全部冷箱!A:A,B30,全部冷箱!M:M)</f>
        <v>0</v>
      </c>
      <c r="Y30" s="44"/>
      <c r="Z30" s="44">
        <f>SUMIF(全部冷箱!A:A,B30,全部冷箱!L:L)</f>
        <v>0</v>
      </c>
      <c r="AA30" s="3"/>
      <c r="AB30" s="3"/>
      <c r="AC30" s="3">
        <f t="array" ref="AC30">SUMIFS(第19周周填报数据!D:D,第19周周填报数据!B:B,B30,第19周周填报数据!F:F,"龙岗堆场新箱堆存费")/1.06+SUMIFS(第19周周填报数据!D:D,第19周周填报数据!B:B,B30,第19周周填报数据!F:F,"龙岗堆场新箱拖车费")/1.09</f>
        <v>0</v>
      </c>
      <c r="AD30" s="3"/>
      <c r="AE30" s="3">
        <f t="shared" si="17"/>
        <v>55</v>
      </c>
      <c r="AF30" s="39">
        <f t="shared" si="19"/>
        <v>16632.26</v>
      </c>
      <c r="AG30" s="43"/>
      <c r="AH30" s="3"/>
    </row>
    <row r="31" spans="1:34">
      <c r="A31" s="62"/>
      <c r="B31" s="6" t="s">
        <v>172</v>
      </c>
      <c r="C31" s="3">
        <f>SUMIF(COS!A:A,B31,COS!E:E)</f>
        <v>0</v>
      </c>
      <c r="D31" s="3">
        <f t="shared" si="2"/>
        <v>0</v>
      </c>
      <c r="E31" s="39">
        <f>SUMIF(COS!A:A,B31,COS!I:I)+SUMIF(COS!A:A,B31,COS!J:J)</f>
        <v>0</v>
      </c>
      <c r="F31" s="40">
        <f t="shared" si="3"/>
        <v>0</v>
      </c>
      <c r="G31" s="39" t="e">
        <f t="shared" si="18"/>
        <v>#DIV/0!</v>
      </c>
      <c r="H31" s="41" t="e">
        <f t="shared" si="5"/>
        <v>#DIV/0!</v>
      </c>
      <c r="I31" s="3">
        <f>SUMIF(COS!A:A,B31,COS!L:L)</f>
        <v>0</v>
      </c>
      <c r="J31" s="3">
        <f>SUMIF(OOCL!A:A,B31,OOCL!E:E)</f>
        <v>23</v>
      </c>
      <c r="K31" s="3">
        <f t="shared" si="6"/>
        <v>-51</v>
      </c>
      <c r="L31" s="39">
        <f>SUMIF(OOCL!A:A,B31,OOCL!I:I)+SUMIF(OOCL!A:A,B31,OOCL!J:J)</f>
        <v>5394.33</v>
      </c>
      <c r="M31" s="42">
        <f t="shared" si="7"/>
        <v>-7501</v>
      </c>
      <c r="N31" s="39">
        <f t="shared" si="14"/>
        <v>234.54</v>
      </c>
      <c r="O31" s="41">
        <f t="shared" si="8"/>
        <v>0.3458</v>
      </c>
      <c r="P31" s="3">
        <f>SUMIF(OOCL!A:A,B31,OOCL!L:L)</f>
        <v>0</v>
      </c>
      <c r="Q31" s="3">
        <f>SUMIF(第三方!A:A,B31,第三方!E:E)</f>
        <v>0</v>
      </c>
      <c r="R31" s="3">
        <f t="shared" si="9"/>
        <v>0</v>
      </c>
      <c r="S31" s="43">
        <f>SUMIF(第三方!A:A,B31,第三方!I:I)+SUMIF(第三方!A:A,B31,第三方!J:J)</f>
        <v>0</v>
      </c>
      <c r="T31" s="42">
        <f t="shared" si="10"/>
        <v>0</v>
      </c>
      <c r="U31" s="39" t="e">
        <f t="shared" si="15"/>
        <v>#DIV/0!</v>
      </c>
      <c r="V31" s="41" t="e">
        <f t="shared" si="12"/>
        <v>#DIV/0!</v>
      </c>
      <c r="W31" s="44">
        <f>SUMIF(第三方!A:A,B31,第三方!L:L)</f>
        <v>0</v>
      </c>
      <c r="X31" s="44">
        <f>SUMIF(全部冷箱!A:A,B31,全部冷箱!M:M)</f>
        <v>6188.79</v>
      </c>
      <c r="Y31" s="44"/>
      <c r="Z31" s="44">
        <f>SUMIF(全部冷箱!A:A,B31,全部冷箱!L:L)</f>
        <v>0</v>
      </c>
      <c r="AA31" s="3"/>
      <c r="AB31" s="3"/>
      <c r="AC31" s="3">
        <f t="array" ref="AC31">SUMIFS(第19周周填报数据!D:D,第19周周填报数据!B:B,B31,第19周周填报数据!F:F,"龙岗堆场新箱堆存费")/1.06+SUMIFS(第19周周填报数据!D:D,第19周周填报数据!B:B,B31,第19周周填报数据!F:F,"龙岗堆场新箱拖车费")/1.09</f>
        <v>0</v>
      </c>
      <c r="AD31" s="3"/>
      <c r="AE31" s="3">
        <f t="shared" si="17"/>
        <v>23</v>
      </c>
      <c r="AF31" s="39">
        <f t="shared" si="19"/>
        <v>11583.12</v>
      </c>
      <c r="AG31" s="43"/>
      <c r="AH31" s="3"/>
    </row>
    <row r="32" spans="1:34">
      <c r="A32" s="62"/>
      <c r="B32" s="6" t="s">
        <v>174</v>
      </c>
      <c r="C32" s="3">
        <f>SUMIF(COS!A:A,B32,COS!E:E)</f>
        <v>0</v>
      </c>
      <c r="D32" s="3">
        <f t="shared" si="2"/>
        <v>0</v>
      </c>
      <c r="E32" s="39">
        <f>SUMIF(COS!A:A,B32,COS!I:I)+SUMIF(COS!A:A,B32,COS!J:J)</f>
        <v>0</v>
      </c>
      <c r="F32" s="40">
        <f t="shared" si="3"/>
        <v>0</v>
      </c>
      <c r="G32" s="39" t="e">
        <f t="shared" si="18"/>
        <v>#DIV/0!</v>
      </c>
      <c r="H32" s="41" t="e">
        <f t="shared" si="5"/>
        <v>#DIV/0!</v>
      </c>
      <c r="I32" s="3">
        <f>SUMIF(COS!A:A,B32,COS!L:L)</f>
        <v>0</v>
      </c>
      <c r="J32" s="3">
        <f>SUMIF(OOCL!A:A,B32,OOCL!E:E)</f>
        <v>0</v>
      </c>
      <c r="K32" s="3">
        <f t="shared" si="6"/>
        <v>0</v>
      </c>
      <c r="L32" s="39">
        <f>SUMIF(OOCL!A:A,B32,OOCL!I:I)+SUMIF(OOCL!A:A,B32,OOCL!J:J)</f>
        <v>0</v>
      </c>
      <c r="M32" s="42">
        <f t="shared" si="7"/>
        <v>0</v>
      </c>
      <c r="N32" s="39" t="e">
        <f t="shared" si="14"/>
        <v>#DIV/0!</v>
      </c>
      <c r="O32" s="41" t="e">
        <f t="shared" si="8"/>
        <v>#DIV/0!</v>
      </c>
      <c r="P32" s="3">
        <f>SUMIF(OOCL!A:A,B32,OOCL!L:L)</f>
        <v>0</v>
      </c>
      <c r="Q32" s="3">
        <f>SUMIF(第三方!A:A,B32,第三方!E:E)</f>
        <v>0</v>
      </c>
      <c r="R32" s="3">
        <f t="shared" si="9"/>
        <v>0</v>
      </c>
      <c r="S32" s="43">
        <f>SUMIF(第三方!A:A,B32,第三方!I:I)+SUMIF(第三方!A:A,B32,第三方!J:J)</f>
        <v>0</v>
      </c>
      <c r="T32" s="42">
        <f t="shared" si="10"/>
        <v>0</v>
      </c>
      <c r="U32" s="39" t="e">
        <f t="shared" si="15"/>
        <v>#DIV/0!</v>
      </c>
      <c r="V32" s="41" t="e">
        <f t="shared" si="12"/>
        <v>#DIV/0!</v>
      </c>
      <c r="W32" s="44">
        <f>SUMIF(第三方!A:A,B32,第三方!L:L)</f>
        <v>0</v>
      </c>
      <c r="X32" s="44">
        <f>SUMIF(全部冷箱!A:A,B32,全部冷箱!M:M)</f>
        <v>0</v>
      </c>
      <c r="Y32" s="44"/>
      <c r="Z32" s="44">
        <f>SUMIF(全部冷箱!A:A,B32,全部冷箱!L:L)</f>
        <v>0</v>
      </c>
      <c r="AA32" s="3"/>
      <c r="AB32" s="3"/>
      <c r="AC32" s="3">
        <f t="array" ref="AC32">SUMIFS(第19周周填报数据!D:D,第19周周填报数据!B:B,B32,第19周周填报数据!F:F,"龙岗堆场新箱堆存费")/1.06+SUMIFS(第19周周填报数据!D:D,第19周周填报数据!B:B,B32,第19周周填报数据!F:F,"龙岗堆场新箱拖车费")/1.09</f>
        <v>0</v>
      </c>
      <c r="AD32" s="3"/>
      <c r="AE32" s="3">
        <f t="shared" si="17"/>
        <v>0</v>
      </c>
      <c r="AF32" s="39">
        <f t="shared" si="19"/>
        <v>0</v>
      </c>
      <c r="AG32" s="43"/>
      <c r="AH32" s="3"/>
    </row>
    <row r="33" spans="1:34">
      <c r="A33" s="62"/>
      <c r="B33" s="6" t="s">
        <v>167</v>
      </c>
      <c r="C33" s="3">
        <f>SUMIF(COS!A:A,B33,COS!E:E)</f>
        <v>46</v>
      </c>
      <c r="D33" s="3">
        <f t="shared" si="2"/>
        <v>-20</v>
      </c>
      <c r="E33" s="39">
        <f>SUMIF(COS!A:A,B33,COS!I:I)+SUMIF(COS!A:A,B33,COS!J:J)</f>
        <v>6922.11</v>
      </c>
      <c r="F33" s="40">
        <f t="shared" si="3"/>
        <v>-10844</v>
      </c>
      <c r="G33" s="39">
        <f t="shared" si="18"/>
        <v>150.48</v>
      </c>
      <c r="H33" s="41">
        <f t="shared" si="5"/>
        <v>-0.441</v>
      </c>
      <c r="I33" s="3">
        <f>SUMIF(COS!A:A,B33,COS!L:L)</f>
        <v>2632.12</v>
      </c>
      <c r="J33" s="3">
        <f>SUMIF(OOCL!A:A,B33,OOCL!E:E)</f>
        <v>0</v>
      </c>
      <c r="K33" s="3">
        <f t="shared" si="6"/>
        <v>0</v>
      </c>
      <c r="L33" s="39">
        <f>SUMIF(OOCL!A:A,B33,OOCL!I:I)+SUMIF(OOCL!A:A,B33,OOCL!J:J)</f>
        <v>0</v>
      </c>
      <c r="M33" s="42">
        <f t="shared" si="7"/>
        <v>0</v>
      </c>
      <c r="N33" s="39" t="e">
        <f t="shared" si="14"/>
        <v>#DIV/0!</v>
      </c>
      <c r="O33" s="41" t="e">
        <f t="shared" si="8"/>
        <v>#DIV/0!</v>
      </c>
      <c r="P33" s="3">
        <f>SUMIF(OOCL!A:A,B33,OOCL!L:L)</f>
        <v>0</v>
      </c>
      <c r="Q33" s="3">
        <f>SUMIF(第三方!A:A,B33,第三方!E:E)</f>
        <v>0</v>
      </c>
      <c r="R33" s="3">
        <f t="shared" si="9"/>
        <v>0</v>
      </c>
      <c r="S33" s="43">
        <f>SUMIF(第三方!A:A,B33,第三方!I:I)+SUMIF(第三方!A:A,B33,第三方!J:J)</f>
        <v>0</v>
      </c>
      <c r="T33" s="42">
        <f t="shared" si="10"/>
        <v>0</v>
      </c>
      <c r="U33" s="39" t="e">
        <f t="shared" si="15"/>
        <v>#DIV/0!</v>
      </c>
      <c r="V33" s="41" t="e">
        <f t="shared" si="12"/>
        <v>#DIV/0!</v>
      </c>
      <c r="W33" s="44">
        <f>SUMIF(第三方!A:A,B33,第三方!L:L)</f>
        <v>0</v>
      </c>
      <c r="X33" s="44">
        <f>SUMIF(全部冷箱!A:A,B33,全部冷箱!M:M)</f>
        <v>0</v>
      </c>
      <c r="Y33" s="44"/>
      <c r="Z33" s="44">
        <f>SUMIF(全部冷箱!A:A,B33,全部冷箱!L:L)</f>
        <v>0</v>
      </c>
      <c r="AA33" s="3"/>
      <c r="AB33" s="3"/>
      <c r="AC33" s="3">
        <f t="array" ref="AC33">SUMIFS(第19周周填报数据!D:D,第19周周填报数据!B:B,B33,第19周周填报数据!F:F,"龙岗堆场新箱堆存费")/1.06+SUMIFS(第19周周填报数据!D:D,第19周周填报数据!B:B,B33,第19周周填报数据!F:F,"龙岗堆场新箱拖车费")/1.09</f>
        <v>0</v>
      </c>
      <c r="AD33" s="3"/>
      <c r="AE33" s="3">
        <f t="shared" si="17"/>
        <v>46</v>
      </c>
      <c r="AF33" s="39">
        <f t="shared" si="19"/>
        <v>9554.23</v>
      </c>
      <c r="AG33" s="43"/>
      <c r="AH33" s="3"/>
    </row>
    <row r="34" spans="1:34">
      <c r="A34" s="63"/>
      <c r="B34" s="12" t="s">
        <v>207</v>
      </c>
      <c r="C34" s="53">
        <f>SUM(C10:C33)</f>
        <v>6508</v>
      </c>
      <c r="D34" s="53">
        <f t="shared" si="2"/>
        <v>-2410</v>
      </c>
      <c r="E34" s="53">
        <f t="shared" ref="D34:AE34" si="20">SUM(E10:E33)</f>
        <v>1392476.01</v>
      </c>
      <c r="F34" s="55">
        <f t="shared" si="3"/>
        <v>-631782</v>
      </c>
      <c r="G34" s="54">
        <f t="shared" si="18"/>
        <v>213.96</v>
      </c>
      <c r="H34" s="56">
        <f t="shared" si="5"/>
        <v>-0.0574</v>
      </c>
      <c r="I34" s="53">
        <f t="shared" si="20"/>
        <v>276772.25</v>
      </c>
      <c r="J34" s="53">
        <f t="shared" si="20"/>
        <v>240</v>
      </c>
      <c r="K34" s="53">
        <f t="shared" si="6"/>
        <v>-214</v>
      </c>
      <c r="L34" s="53">
        <f t="shared" si="20"/>
        <v>37730.37</v>
      </c>
      <c r="M34" s="57">
        <f t="shared" si="7"/>
        <v>-36890</v>
      </c>
      <c r="N34" s="54">
        <f t="shared" si="14"/>
        <v>157.21</v>
      </c>
      <c r="O34" s="56">
        <f t="shared" si="8"/>
        <v>-0.0435</v>
      </c>
      <c r="P34" s="53">
        <f t="shared" si="20"/>
        <v>820.76</v>
      </c>
      <c r="Q34" s="53">
        <f t="shared" si="20"/>
        <v>1</v>
      </c>
      <c r="R34" s="53">
        <f t="shared" si="9"/>
        <v>-4</v>
      </c>
      <c r="S34" s="53">
        <f t="shared" si="20"/>
        <v>440</v>
      </c>
      <c r="T34" s="57">
        <f t="shared" si="10"/>
        <v>-4882</v>
      </c>
      <c r="U34" s="54">
        <f t="shared" si="15"/>
        <v>440</v>
      </c>
      <c r="V34" s="56">
        <f t="shared" si="12"/>
        <v>-0.5866</v>
      </c>
      <c r="W34" s="53">
        <f t="shared" si="20"/>
        <v>0</v>
      </c>
      <c r="X34" s="53">
        <f t="shared" si="20"/>
        <v>14067.45</v>
      </c>
      <c r="Y34" s="53">
        <f t="shared" si="20"/>
        <v>0</v>
      </c>
      <c r="Z34" s="53">
        <f t="shared" ref="Z34:AE34" si="21">SUM(Z10:Z33)</f>
        <v>849</v>
      </c>
      <c r="AA34" s="53">
        <f t="shared" si="21"/>
        <v>0</v>
      </c>
      <c r="AB34" s="53">
        <f t="shared" si="21"/>
        <v>0</v>
      </c>
      <c r="AC34" s="53">
        <f t="shared" si="21"/>
        <v>0</v>
      </c>
      <c r="AD34" s="53">
        <f t="shared" si="21"/>
        <v>0</v>
      </c>
      <c r="AE34" s="53">
        <f t="shared" si="21"/>
        <v>6749</v>
      </c>
      <c r="AF34" s="54">
        <f t="shared" si="19"/>
        <v>1722306.84</v>
      </c>
      <c r="AG34" s="53"/>
      <c r="AH34" s="53"/>
    </row>
    <row r="35" ht="16" customHeight="1" spans="1:34">
      <c r="A35" s="9" t="s">
        <v>208</v>
      </c>
      <c r="B35" s="9"/>
      <c r="C35" s="9">
        <f>C9+C34</f>
        <v>13015</v>
      </c>
      <c r="D35" s="9">
        <f t="shared" si="2"/>
        <v>-5066</v>
      </c>
      <c r="E35" s="9">
        <f t="shared" ref="D35:AE35" si="22">E9+E34</f>
        <v>2649657.92</v>
      </c>
      <c r="F35" s="47">
        <f t="shared" si="3"/>
        <v>-1281096</v>
      </c>
      <c r="G35" s="46">
        <f t="shared" si="18"/>
        <v>203.58</v>
      </c>
      <c r="H35" s="48">
        <f t="shared" si="5"/>
        <v>-0.0636</v>
      </c>
      <c r="I35" s="9">
        <f t="shared" si="22"/>
        <v>527003.56</v>
      </c>
      <c r="J35" s="9">
        <f t="shared" si="22"/>
        <v>369</v>
      </c>
      <c r="K35" s="9">
        <f t="shared" si="6"/>
        <v>-300</v>
      </c>
      <c r="L35" s="9">
        <f t="shared" si="22"/>
        <v>67343.2</v>
      </c>
      <c r="M35" s="49">
        <f t="shared" si="7"/>
        <v>-57671</v>
      </c>
      <c r="N35" s="46">
        <f t="shared" si="14"/>
        <v>182.5</v>
      </c>
      <c r="O35" s="48">
        <f t="shared" si="8"/>
        <v>-0.0234</v>
      </c>
      <c r="P35" s="9">
        <f t="shared" si="22"/>
        <v>4183.83</v>
      </c>
      <c r="Q35" s="9">
        <f t="shared" si="22"/>
        <v>193</v>
      </c>
      <c r="R35" s="9">
        <f t="shared" si="9"/>
        <v>-604</v>
      </c>
      <c r="S35" s="9">
        <f t="shared" si="22"/>
        <v>32294</v>
      </c>
      <c r="T35" s="49">
        <f t="shared" si="10"/>
        <v>-99197</v>
      </c>
      <c r="U35" s="46">
        <f t="shared" si="15"/>
        <v>167.33</v>
      </c>
      <c r="V35" s="48">
        <f t="shared" si="12"/>
        <v>0.0142</v>
      </c>
      <c r="W35" s="9">
        <f t="shared" si="22"/>
        <v>10606.22</v>
      </c>
      <c r="X35" s="9">
        <f t="shared" si="22"/>
        <v>26066.43</v>
      </c>
      <c r="Y35" s="9">
        <f t="shared" si="22"/>
        <v>22462.26</v>
      </c>
      <c r="Z35" s="9">
        <f t="shared" si="22"/>
        <v>1202.75</v>
      </c>
      <c r="AA35" s="9">
        <f t="shared" si="22"/>
        <v>212332.69</v>
      </c>
      <c r="AB35" s="9">
        <f t="shared" si="22"/>
        <v>114825.47</v>
      </c>
      <c r="AC35" s="9">
        <f t="shared" si="22"/>
        <v>7892.83</v>
      </c>
      <c r="AD35" s="9">
        <f t="shared" si="22"/>
        <v>8226.42</v>
      </c>
      <c r="AE35" s="9">
        <f t="shared" si="22"/>
        <v>13577</v>
      </c>
      <c r="AF35" s="46">
        <f t="shared" si="19"/>
        <v>3682894.83</v>
      </c>
      <c r="AG35" s="9"/>
      <c r="AH35" s="64"/>
    </row>
    <row r="36" ht="16" customHeight="1" spans="1:34">
      <c r="A36" t="s">
        <v>363</v>
      </c>
      <c r="F36" s="65" t="s">
        <v>478</v>
      </c>
      <c r="G36" s="66">
        <f>(E35+I35)/C35</f>
        <v>244.08</v>
      </c>
      <c r="H36" s="67"/>
      <c r="I36" s="67"/>
      <c r="J36" s="67"/>
      <c r="K36" s="67"/>
      <c r="L36" s="67"/>
      <c r="M36" s="67" t="s">
        <v>478</v>
      </c>
      <c r="N36" s="67">
        <f>(L35+P35)/J35</f>
        <v>193.84</v>
      </c>
      <c r="T36" t="s">
        <v>478</v>
      </c>
      <c r="U36" s="67">
        <f>(S35+W35)/Q35</f>
        <v>222.28</v>
      </c>
    </row>
    <row r="37" ht="16" customHeight="1" spans="1:34">
      <c r="A37" s="68" t="s">
        <v>359</v>
      </c>
      <c r="B37" s="68"/>
      <c r="C37" s="68"/>
      <c r="D37" s="68"/>
      <c r="E37" s="68">
        <f>E35*1.13</f>
        <v>2994113.4496</v>
      </c>
      <c r="F37" s="69" t="s">
        <v>479</v>
      </c>
      <c r="G37" s="70">
        <f>E37/C35</f>
        <v>230.05</v>
      </c>
      <c r="H37" s="71"/>
      <c r="I37" s="71">
        <f>I35*1.06</f>
        <v>558623.77</v>
      </c>
      <c r="J37" s="71"/>
      <c r="K37" s="71"/>
      <c r="L37" s="71">
        <f>L35*1.13</f>
        <v>76097.82</v>
      </c>
      <c r="M37" s="71" t="s">
        <v>479</v>
      </c>
      <c r="N37" s="71">
        <f>L37/J35</f>
        <v>206.23</v>
      </c>
      <c r="O37" s="68"/>
      <c r="P37" s="68">
        <f>P35*1.06</f>
        <v>4434.8598</v>
      </c>
      <c r="Q37" s="68"/>
      <c r="R37" s="68"/>
      <c r="S37" s="68">
        <f>S35*1.13</f>
        <v>36492.22</v>
      </c>
      <c r="T37" s="68" t="s">
        <v>479</v>
      </c>
      <c r="U37" s="71">
        <f>S37/Q35</f>
        <v>189.08</v>
      </c>
      <c r="V37" s="68"/>
      <c r="W37" s="71">
        <f>W35*1.06</f>
        <v>11242.59</v>
      </c>
      <c r="X37" s="71">
        <f>X35*1.13</f>
        <v>29455.07</v>
      </c>
      <c r="Y37" s="71">
        <f t="shared" ref="Y37:AD37" si="23">Y35*1.06</f>
        <v>23810</v>
      </c>
      <c r="Z37" s="68">
        <f t="shared" si="23"/>
        <v>1274.915</v>
      </c>
      <c r="AA37" s="68">
        <f t="shared" si="23"/>
        <v>225072.6514</v>
      </c>
      <c r="AB37" s="68">
        <f t="shared" si="23"/>
        <v>121714.9982</v>
      </c>
      <c r="AC37" s="68">
        <f t="shared" si="23"/>
        <v>8366.3998</v>
      </c>
      <c r="AD37" s="68">
        <f t="shared" si="23"/>
        <v>8720.0052</v>
      </c>
      <c r="AE37" s="68"/>
      <c r="AF37" s="68">
        <f t="array" ref="AF37">(E35+L35+S35+X35)*1.13+(I35+P35+Y35+W35+Z35+AA35+AB35+AC35+AD35)*1.06</f>
        <v>4099418.7433</v>
      </c>
      <c r="AG37" s="68"/>
      <c r="AH37" s="68"/>
    </row>
    <row r="38" ht="16" customHeight="1" spans="1:34">
      <c r="A38" t="s">
        <v>359</v>
      </c>
      <c r="F38" s="72" t="s">
        <v>480</v>
      </c>
      <c r="G38" s="66">
        <f>(E37+I37)/C35</f>
        <v>272.97</v>
      </c>
      <c r="H38" s="67"/>
      <c r="I38" s="67"/>
      <c r="J38" s="67"/>
      <c r="K38" s="67"/>
      <c r="L38" s="67"/>
      <c r="M38" s="67" t="s">
        <v>480</v>
      </c>
      <c r="N38" s="67">
        <f>(L37+P37)/J35</f>
        <v>218.25</v>
      </c>
      <c r="T38" t="s">
        <v>480</v>
      </c>
      <c r="U38" s="67">
        <f>(S37+W37)/Q35</f>
        <v>247.33</v>
      </c>
    </row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1" spans="1:34">
      <c r="A51" s="22" t="s">
        <v>481</v>
      </c>
      <c r="B51" s="22"/>
      <c r="C51" s="22" t="s">
        <v>482</v>
      </c>
      <c r="D51" s="22"/>
      <c r="E51" s="22"/>
      <c r="F51" s="22"/>
      <c r="G51" s="22"/>
      <c r="H51" s="22"/>
      <c r="I51" s="22"/>
      <c r="J51" s="22" t="s">
        <v>446</v>
      </c>
      <c r="K51" s="22"/>
      <c r="L51" s="22"/>
      <c r="M51" s="22"/>
      <c r="N51" s="22"/>
      <c r="O51" s="22"/>
      <c r="P51" s="22"/>
      <c r="Q51" s="22" t="s">
        <v>182</v>
      </c>
      <c r="R51" s="22"/>
      <c r="S51" s="22"/>
      <c r="T51" s="22"/>
      <c r="U51" s="22"/>
      <c r="V51" s="22"/>
      <c r="W51" s="32"/>
      <c r="X51" s="32" t="s">
        <v>183</v>
      </c>
      <c r="Y51" s="73"/>
      <c r="Z51" s="73"/>
      <c r="AA51" s="73"/>
      <c r="AB51" s="73"/>
      <c r="AC51" s="73"/>
      <c r="AD51" s="73"/>
      <c r="AE51" s="22" t="s">
        <v>184</v>
      </c>
      <c r="AF51" s="22"/>
      <c r="AG51" s="22"/>
      <c r="AH51" s="32"/>
    </row>
    <row r="52" spans="1:34">
      <c r="A52" s="32" t="s">
        <v>187</v>
      </c>
      <c r="B52" s="33"/>
      <c r="C52" s="74" t="s">
        <v>188</v>
      </c>
      <c r="D52" s="74" t="s">
        <v>189</v>
      </c>
      <c r="E52" s="74" t="s">
        <v>190</v>
      </c>
      <c r="F52" s="74" t="s">
        <v>189</v>
      </c>
      <c r="G52" s="74" t="s">
        <v>191</v>
      </c>
      <c r="H52" s="74" t="s">
        <v>189</v>
      </c>
      <c r="I52" s="74" t="s">
        <v>192</v>
      </c>
      <c r="J52" s="74" t="s">
        <v>188</v>
      </c>
      <c r="K52" s="74" t="s">
        <v>189</v>
      </c>
      <c r="L52" s="74" t="s">
        <v>190</v>
      </c>
      <c r="M52" s="74" t="s">
        <v>189</v>
      </c>
      <c r="N52" s="74" t="s">
        <v>191</v>
      </c>
      <c r="O52" s="74" t="s">
        <v>189</v>
      </c>
      <c r="P52" s="74" t="s">
        <v>192</v>
      </c>
      <c r="Q52" s="74" t="s">
        <v>188</v>
      </c>
      <c r="R52" s="74" t="s">
        <v>189</v>
      </c>
      <c r="S52" s="74" t="s">
        <v>190</v>
      </c>
      <c r="T52" s="74" t="s">
        <v>189</v>
      </c>
      <c r="U52" s="74" t="s">
        <v>191</v>
      </c>
      <c r="V52" s="74" t="s">
        <v>189</v>
      </c>
      <c r="W52" s="74"/>
      <c r="X52" s="74" t="s">
        <v>193</v>
      </c>
      <c r="Y52" s="74"/>
      <c r="Z52" s="74"/>
      <c r="AA52" s="74" t="s">
        <v>194</v>
      </c>
      <c r="AB52" s="74"/>
      <c r="AC52" s="74"/>
      <c r="AD52" s="74" t="s">
        <v>195</v>
      </c>
      <c r="AE52" s="74" t="s">
        <v>188</v>
      </c>
      <c r="AF52" s="74" t="s">
        <v>190</v>
      </c>
      <c r="AG52" s="74" t="s">
        <v>197</v>
      </c>
      <c r="AH52" s="74" t="s">
        <v>198</v>
      </c>
    </row>
    <row r="53" spans="1:34">
      <c r="A53" s="3" t="s">
        <v>204</v>
      </c>
      <c r="B53" s="6" t="s">
        <v>12</v>
      </c>
      <c r="C53" s="6">
        <v>496</v>
      </c>
      <c r="D53" s="6">
        <v>104</v>
      </c>
      <c r="E53" s="75">
        <v>162081.77</v>
      </c>
      <c r="F53" s="76">
        <v>29997</v>
      </c>
      <c r="G53" s="75">
        <v>326.78</v>
      </c>
      <c r="H53" s="76">
        <v>-0.0302</v>
      </c>
      <c r="I53" s="6">
        <v>0</v>
      </c>
      <c r="J53" s="6">
        <v>39</v>
      </c>
      <c r="K53" s="6">
        <v>-34</v>
      </c>
      <c r="L53" s="6">
        <v>7989.66</v>
      </c>
      <c r="M53" s="6">
        <v>-5974</v>
      </c>
      <c r="N53" s="6">
        <v>204.86</v>
      </c>
      <c r="O53" s="6">
        <v>0.071</v>
      </c>
      <c r="P53" s="6">
        <v>0</v>
      </c>
      <c r="Q53" s="6">
        <v>92</v>
      </c>
      <c r="R53" s="6">
        <v>-2</v>
      </c>
      <c r="S53" s="77">
        <v>21748</v>
      </c>
      <c r="T53" s="76">
        <v>-4303</v>
      </c>
      <c r="U53" s="75">
        <v>236.39</v>
      </c>
      <c r="V53" s="76">
        <v>-0.147</v>
      </c>
      <c r="W53" s="78">
        <v>12358.56</v>
      </c>
      <c r="X53" s="78">
        <v>0</v>
      </c>
      <c r="Y53" s="78">
        <v>5844.34</v>
      </c>
      <c r="Z53" s="78">
        <v>0</v>
      </c>
      <c r="AA53" s="78">
        <v>146229.77</v>
      </c>
      <c r="AB53" s="78">
        <v>0</v>
      </c>
      <c r="AC53" s="78">
        <v>940626.88</v>
      </c>
      <c r="AD53" s="78">
        <v>0</v>
      </c>
      <c r="AE53" s="6">
        <v>627</v>
      </c>
      <c r="AF53" s="75">
        <v>1296878.98</v>
      </c>
      <c r="AG53" s="77"/>
      <c r="AH53" s="79"/>
    </row>
    <row r="54" spans="1:34">
      <c r="A54" s="9"/>
      <c r="B54" s="8" t="s">
        <v>19</v>
      </c>
      <c r="C54" s="8">
        <v>2849</v>
      </c>
      <c r="D54" s="8">
        <v>-97</v>
      </c>
      <c r="E54" s="80">
        <v>381460.21</v>
      </c>
      <c r="F54" s="81">
        <v>-45721</v>
      </c>
      <c r="G54" s="80">
        <v>133.89</v>
      </c>
      <c r="H54" s="81">
        <v>-0.0766</v>
      </c>
      <c r="I54" s="8">
        <v>177237.35</v>
      </c>
      <c r="J54" s="8">
        <v>67</v>
      </c>
      <c r="K54" s="8">
        <v>-33</v>
      </c>
      <c r="L54" s="8">
        <v>12605.99</v>
      </c>
      <c r="M54" s="8">
        <v>-832</v>
      </c>
      <c r="N54" s="8">
        <v>188.15</v>
      </c>
      <c r="O54" s="8">
        <v>0.4001</v>
      </c>
      <c r="P54" s="8">
        <v>4664.81</v>
      </c>
      <c r="Q54" s="8">
        <v>81</v>
      </c>
      <c r="R54" s="8">
        <v>-21</v>
      </c>
      <c r="S54" s="82">
        <v>15920</v>
      </c>
      <c r="T54" s="81">
        <v>1893</v>
      </c>
      <c r="U54" s="80">
        <v>196.54</v>
      </c>
      <c r="V54" s="81">
        <v>0.4292</v>
      </c>
      <c r="W54" s="83">
        <v>5343.17</v>
      </c>
      <c r="X54" s="83">
        <v>5542.93</v>
      </c>
      <c r="Y54" s="83">
        <v>0</v>
      </c>
      <c r="Z54" s="83">
        <v>636.75</v>
      </c>
      <c r="AA54" s="83">
        <v>0</v>
      </c>
      <c r="AB54" s="83">
        <v>0</v>
      </c>
      <c r="AC54" s="83">
        <v>0</v>
      </c>
      <c r="AD54" s="83">
        <v>9000</v>
      </c>
      <c r="AE54" s="8">
        <v>2997</v>
      </c>
      <c r="AF54" s="80">
        <v>611774.46</v>
      </c>
      <c r="AG54" s="82"/>
      <c r="AH54" s="84"/>
    </row>
    <row r="55" spans="1:34">
      <c r="A55" s="3"/>
      <c r="B55" s="6" t="s">
        <v>30</v>
      </c>
      <c r="C55" s="6">
        <v>2284</v>
      </c>
      <c r="D55" s="6">
        <v>134</v>
      </c>
      <c r="E55" s="75">
        <v>459709.82</v>
      </c>
      <c r="F55" s="76">
        <v>7624</v>
      </c>
      <c r="G55" s="75">
        <v>201.27</v>
      </c>
      <c r="H55" s="76">
        <v>-0.0428</v>
      </c>
      <c r="I55" s="6">
        <v>112489.23</v>
      </c>
      <c r="J55" s="6">
        <v>24</v>
      </c>
      <c r="K55" s="6">
        <v>-16</v>
      </c>
      <c r="L55" s="6">
        <v>6547.21</v>
      </c>
      <c r="M55" s="6">
        <v>-3318</v>
      </c>
      <c r="N55" s="6">
        <v>272.8</v>
      </c>
      <c r="O55" s="6">
        <v>0.1061</v>
      </c>
      <c r="P55" s="6">
        <v>1584.84</v>
      </c>
      <c r="Q55" s="6">
        <v>225</v>
      </c>
      <c r="R55" s="6">
        <v>129</v>
      </c>
      <c r="S55" s="77">
        <v>56935</v>
      </c>
      <c r="T55" s="76">
        <v>15391</v>
      </c>
      <c r="U55" s="75">
        <v>253.04</v>
      </c>
      <c r="V55" s="76">
        <v>-0.4153</v>
      </c>
      <c r="W55" s="78">
        <v>9015.46</v>
      </c>
      <c r="X55" s="78">
        <v>0</v>
      </c>
      <c r="Y55" s="78">
        <v>0</v>
      </c>
      <c r="Z55" s="78">
        <v>0</v>
      </c>
      <c r="AA55" s="78">
        <v>8970.75</v>
      </c>
      <c r="AB55" s="78">
        <v>0</v>
      </c>
      <c r="AC55" s="78">
        <v>0</v>
      </c>
      <c r="AD55" s="78">
        <v>0</v>
      </c>
      <c r="AE55" s="6">
        <v>2533</v>
      </c>
      <c r="AF55" s="75">
        <v>655252.31</v>
      </c>
      <c r="AG55" s="77"/>
      <c r="AH55" s="79"/>
    </row>
    <row r="56" spans="1:34">
      <c r="A56" s="9"/>
      <c r="B56" s="8" t="s">
        <v>46</v>
      </c>
      <c r="C56" s="8">
        <v>1331</v>
      </c>
      <c r="D56" s="8">
        <v>358</v>
      </c>
      <c r="E56" s="80">
        <v>310092.38</v>
      </c>
      <c r="F56" s="81">
        <v>62194</v>
      </c>
      <c r="G56" s="80">
        <v>232.98</v>
      </c>
      <c r="H56" s="81">
        <v>-0.0856</v>
      </c>
      <c r="I56" s="8">
        <v>42320.58</v>
      </c>
      <c r="J56" s="8">
        <v>3</v>
      </c>
      <c r="K56" s="8">
        <v>-1</v>
      </c>
      <c r="L56" s="8">
        <v>288.96</v>
      </c>
      <c r="M56" s="8">
        <v>-65</v>
      </c>
      <c r="N56" s="8">
        <v>96.32</v>
      </c>
      <c r="O56" s="8">
        <v>0.0885</v>
      </c>
      <c r="P56" s="8">
        <v>155.67</v>
      </c>
      <c r="Q56" s="8">
        <v>40</v>
      </c>
      <c r="R56" s="8">
        <v>22</v>
      </c>
      <c r="S56" s="82">
        <v>7726</v>
      </c>
      <c r="T56" s="81">
        <v>5289</v>
      </c>
      <c r="U56" s="80">
        <v>193.15</v>
      </c>
      <c r="V56" s="81">
        <v>0.4266</v>
      </c>
      <c r="W56" s="83">
        <v>2853.78</v>
      </c>
      <c r="X56" s="83">
        <v>46493.19</v>
      </c>
      <c r="Y56" s="83">
        <v>24455.21</v>
      </c>
      <c r="Z56" s="83">
        <v>70.75</v>
      </c>
      <c r="AA56" s="83">
        <v>12529.81</v>
      </c>
      <c r="AB56" s="83">
        <v>0</v>
      </c>
      <c r="AC56" s="83">
        <v>0</v>
      </c>
      <c r="AD56" s="83">
        <v>0</v>
      </c>
      <c r="AE56" s="8">
        <v>1374</v>
      </c>
      <c r="AF56" s="80">
        <v>446915.58</v>
      </c>
      <c r="AG56" s="82"/>
      <c r="AH56" s="84"/>
    </row>
    <row r="57" spans="1:34">
      <c r="A57" s="3"/>
      <c r="B57" s="6" t="s">
        <v>50</v>
      </c>
      <c r="C57" s="6">
        <v>1957</v>
      </c>
      <c r="D57" s="6">
        <v>-203</v>
      </c>
      <c r="E57" s="75">
        <v>556046.97</v>
      </c>
      <c r="F57" s="76">
        <v>-43112</v>
      </c>
      <c r="G57" s="75">
        <v>284.13</v>
      </c>
      <c r="H57" s="76">
        <v>0.0243</v>
      </c>
      <c r="I57" s="6">
        <v>467.01</v>
      </c>
      <c r="J57" s="6">
        <v>14</v>
      </c>
      <c r="K57" s="6">
        <v>6</v>
      </c>
      <c r="L57" s="6">
        <v>2259.52</v>
      </c>
      <c r="M57" s="6">
        <v>825</v>
      </c>
      <c r="N57" s="6">
        <v>161.39</v>
      </c>
      <c r="O57" s="6">
        <v>-0.1</v>
      </c>
      <c r="P57" s="6">
        <v>0</v>
      </c>
      <c r="Q57" s="6">
        <v>0</v>
      </c>
      <c r="R57" s="6">
        <v>0</v>
      </c>
      <c r="S57" s="77">
        <v>0</v>
      </c>
      <c r="T57" s="76">
        <v>0</v>
      </c>
      <c r="U57" s="75" t="e">
        <v>#DIV/0!</v>
      </c>
      <c r="V57" s="76" t="e">
        <v>#DIV/0!</v>
      </c>
      <c r="W57" s="78">
        <v>0</v>
      </c>
      <c r="X57" s="78">
        <v>0</v>
      </c>
      <c r="Y57" s="78">
        <v>6622.64</v>
      </c>
      <c r="Z57" s="78">
        <v>0</v>
      </c>
      <c r="AA57" s="78">
        <v>67245.75</v>
      </c>
      <c r="AB57" s="78">
        <v>0</v>
      </c>
      <c r="AC57" s="78">
        <v>0</v>
      </c>
      <c r="AD57" s="78">
        <v>254.72</v>
      </c>
      <c r="AE57" s="6">
        <v>1971</v>
      </c>
      <c r="AF57" s="75">
        <v>632896.61</v>
      </c>
      <c r="AG57" s="77"/>
      <c r="AH57" s="79"/>
    </row>
    <row r="58" spans="1:34">
      <c r="A58" s="9"/>
      <c r="B58" s="8" t="s">
        <v>9</v>
      </c>
      <c r="C58" s="8">
        <v>246</v>
      </c>
      <c r="D58" s="8">
        <v>-36</v>
      </c>
      <c r="E58" s="80">
        <v>37105.3</v>
      </c>
      <c r="F58" s="81">
        <v>-1431</v>
      </c>
      <c r="G58" s="80">
        <v>150.83</v>
      </c>
      <c r="H58" s="81">
        <v>0.1038</v>
      </c>
      <c r="I58" s="8">
        <v>10287.79</v>
      </c>
      <c r="J58" s="8">
        <v>68</v>
      </c>
      <c r="K58" s="8">
        <v>24</v>
      </c>
      <c r="L58" s="8">
        <v>20702.28</v>
      </c>
      <c r="M58" s="8">
        <v>7220</v>
      </c>
      <c r="N58" s="8">
        <v>304.45</v>
      </c>
      <c r="O58" s="8">
        <v>-0.0064</v>
      </c>
      <c r="P58" s="8">
        <v>0</v>
      </c>
      <c r="Q58" s="8">
        <v>354</v>
      </c>
      <c r="R58" s="8">
        <v>-516</v>
      </c>
      <c r="S58" s="82">
        <v>23840</v>
      </c>
      <c r="T58" s="81">
        <v>-29590</v>
      </c>
      <c r="U58" s="80">
        <v>67.34</v>
      </c>
      <c r="V58" s="81">
        <v>0.0966</v>
      </c>
      <c r="W58" s="83">
        <v>509.49</v>
      </c>
      <c r="X58" s="83">
        <v>3735.09</v>
      </c>
      <c r="Y58" s="83">
        <v>0</v>
      </c>
      <c r="Z58" s="83">
        <v>0</v>
      </c>
      <c r="AA58" s="83">
        <v>77647.17</v>
      </c>
      <c r="AB58" s="83">
        <v>43532.08</v>
      </c>
      <c r="AC58" s="83">
        <v>0</v>
      </c>
      <c r="AD58" s="83">
        <v>0</v>
      </c>
      <c r="AE58" s="8">
        <v>668</v>
      </c>
      <c r="AF58" s="80">
        <v>217359.2</v>
      </c>
      <c r="AG58" s="82"/>
      <c r="AH58" s="84"/>
    </row>
    <row r="59" spans="1:34">
      <c r="A59" s="53"/>
      <c r="B59" s="12" t="s">
        <v>205</v>
      </c>
      <c r="C59" s="12">
        <v>9163</v>
      </c>
      <c r="D59" s="12">
        <v>260</v>
      </c>
      <c r="E59" s="85">
        <v>1906496.45</v>
      </c>
      <c r="F59" s="86">
        <v>9550</v>
      </c>
      <c r="G59" s="85">
        <v>208.06</v>
      </c>
      <c r="H59" s="86">
        <v>-0.0235</v>
      </c>
      <c r="I59" s="12">
        <v>342801.96</v>
      </c>
      <c r="J59" s="12">
        <v>215</v>
      </c>
      <c r="K59" s="12">
        <v>-54</v>
      </c>
      <c r="L59" s="12">
        <v>50393.62</v>
      </c>
      <c r="M59" s="12">
        <v>-2145</v>
      </c>
      <c r="N59" s="12">
        <v>234.39</v>
      </c>
      <c r="O59" s="12">
        <v>0.2001</v>
      </c>
      <c r="P59" s="12">
        <v>6405.32</v>
      </c>
      <c r="Q59" s="12">
        <v>792</v>
      </c>
      <c r="R59" s="12">
        <v>-388</v>
      </c>
      <c r="S59" s="87">
        <v>126169</v>
      </c>
      <c r="T59" s="86">
        <v>-11320</v>
      </c>
      <c r="U59" s="85">
        <v>159.3</v>
      </c>
      <c r="V59" s="86">
        <v>0.3671</v>
      </c>
      <c r="W59" s="88">
        <v>30080.46</v>
      </c>
      <c r="X59" s="88">
        <v>55771.21</v>
      </c>
      <c r="Y59" s="88">
        <v>36922.19</v>
      </c>
      <c r="Z59" s="88">
        <v>707.5</v>
      </c>
      <c r="AA59" s="88">
        <v>312623.25</v>
      </c>
      <c r="AB59" s="88">
        <v>43532.08</v>
      </c>
      <c r="AC59" s="88">
        <v>940626.88</v>
      </c>
      <c r="AD59" s="88">
        <v>9254.72</v>
      </c>
      <c r="AE59" s="89">
        <v>10170</v>
      </c>
      <c r="AF59" s="85">
        <v>3861077.14</v>
      </c>
      <c r="AG59" s="87"/>
      <c r="AH59" s="90"/>
    </row>
    <row r="60" spans="1:34">
      <c r="A60" s="10" t="s">
        <v>206</v>
      </c>
      <c r="B60" s="6" t="s">
        <v>55</v>
      </c>
      <c r="C60" s="6">
        <v>2512</v>
      </c>
      <c r="D60" s="6">
        <v>-189</v>
      </c>
      <c r="E60" s="75">
        <v>626812.62</v>
      </c>
      <c r="F60" s="76">
        <v>30712</v>
      </c>
      <c r="G60" s="75">
        <v>249.53</v>
      </c>
      <c r="H60" s="76">
        <v>0.1306</v>
      </c>
      <c r="I60" s="6">
        <v>107011.04</v>
      </c>
      <c r="J60" s="6">
        <v>20</v>
      </c>
      <c r="K60" s="6">
        <v>10</v>
      </c>
      <c r="L60" s="6">
        <v>2088.67</v>
      </c>
      <c r="M60" s="6">
        <v>568</v>
      </c>
      <c r="N60" s="6">
        <v>104.43</v>
      </c>
      <c r="O60" s="6">
        <v>-0.3133</v>
      </c>
      <c r="P60" s="6">
        <v>1188.68</v>
      </c>
      <c r="Q60" s="6">
        <v>0</v>
      </c>
      <c r="R60" s="6">
        <v>0</v>
      </c>
      <c r="S60" s="77">
        <v>0</v>
      </c>
      <c r="T60" s="76">
        <v>0</v>
      </c>
      <c r="U60" s="75" t="e">
        <v>#DIV/0!</v>
      </c>
      <c r="V60" s="76" t="e">
        <v>#DIV/0!</v>
      </c>
      <c r="W60" s="78">
        <v>0</v>
      </c>
      <c r="X60" s="78">
        <v>19340.2</v>
      </c>
      <c r="Y60" s="78"/>
      <c r="Z60" s="6">
        <v>1254.64</v>
      </c>
      <c r="AA60" s="6"/>
      <c r="AB60" s="6"/>
      <c r="AC60" s="6">
        <v>0</v>
      </c>
      <c r="AD60" s="6"/>
      <c r="AE60" s="6">
        <v>2532</v>
      </c>
      <c r="AF60" s="75">
        <v>756441.21</v>
      </c>
      <c r="AG60" s="91"/>
      <c r="AH60" s="92"/>
    </row>
    <row r="61" spans="1:34">
      <c r="A61" s="61"/>
      <c r="B61" s="6" t="s">
        <v>76</v>
      </c>
      <c r="C61" s="6">
        <v>698</v>
      </c>
      <c r="D61" s="6">
        <v>189</v>
      </c>
      <c r="E61" s="75">
        <v>142933.6</v>
      </c>
      <c r="F61" s="76">
        <v>8159</v>
      </c>
      <c r="G61" s="75">
        <v>204.78</v>
      </c>
      <c r="H61" s="76">
        <v>-0.2266</v>
      </c>
      <c r="I61" s="6">
        <v>24959.09</v>
      </c>
      <c r="J61" s="6">
        <v>4</v>
      </c>
      <c r="K61" s="6">
        <v>4</v>
      </c>
      <c r="L61" s="6">
        <v>1467.03</v>
      </c>
      <c r="M61" s="6">
        <v>1467</v>
      </c>
      <c r="N61" s="6">
        <v>366.76</v>
      </c>
      <c r="O61" s="6" t="e">
        <v>#DIV/0!</v>
      </c>
      <c r="P61" s="6">
        <v>311.34</v>
      </c>
      <c r="Q61" s="6">
        <v>0</v>
      </c>
      <c r="R61" s="6">
        <v>0</v>
      </c>
      <c r="S61" s="77">
        <v>0</v>
      </c>
      <c r="T61" s="76">
        <v>0</v>
      </c>
      <c r="U61" s="75" t="e">
        <v>#DIV/0!</v>
      </c>
      <c r="V61" s="76" t="e">
        <v>#DIV/0!</v>
      </c>
      <c r="W61" s="78">
        <v>0</v>
      </c>
      <c r="X61" s="78">
        <v>0</v>
      </c>
      <c r="Y61" s="78"/>
      <c r="Z61" s="6">
        <v>0</v>
      </c>
      <c r="AA61" s="6"/>
      <c r="AB61" s="6"/>
      <c r="AC61" s="6">
        <v>0</v>
      </c>
      <c r="AD61" s="6"/>
      <c r="AE61" s="6">
        <v>702</v>
      </c>
      <c r="AF61" s="75">
        <v>169671.06</v>
      </c>
      <c r="AG61" s="93"/>
      <c r="AH61" s="6"/>
    </row>
    <row r="62" spans="1:34">
      <c r="A62" s="61"/>
      <c r="B62" s="6" t="s">
        <v>83</v>
      </c>
      <c r="C62" s="6">
        <v>617</v>
      </c>
      <c r="D62" s="6">
        <v>155</v>
      </c>
      <c r="E62" s="75">
        <v>117950.88</v>
      </c>
      <c r="F62" s="76">
        <v>41908</v>
      </c>
      <c r="G62" s="75">
        <v>191.17</v>
      </c>
      <c r="H62" s="76">
        <v>0.1615</v>
      </c>
      <c r="I62" s="6">
        <v>36731.13</v>
      </c>
      <c r="J62" s="6">
        <v>51</v>
      </c>
      <c r="K62" s="6">
        <v>30</v>
      </c>
      <c r="L62" s="6">
        <v>7888.22</v>
      </c>
      <c r="M62" s="6">
        <v>5063</v>
      </c>
      <c r="N62" s="6">
        <v>154.67</v>
      </c>
      <c r="O62" s="6">
        <v>0.1497</v>
      </c>
      <c r="P62" s="6">
        <v>4278.13</v>
      </c>
      <c r="Q62" s="6">
        <v>0</v>
      </c>
      <c r="R62" s="6">
        <v>0</v>
      </c>
      <c r="S62" s="77">
        <v>0</v>
      </c>
      <c r="T62" s="76">
        <v>0</v>
      </c>
      <c r="U62" s="75" t="e">
        <v>#DIV/0!</v>
      </c>
      <c r="V62" s="76" t="e">
        <v>#DIV/0!</v>
      </c>
      <c r="W62" s="78">
        <v>0</v>
      </c>
      <c r="X62" s="78">
        <v>0</v>
      </c>
      <c r="Y62" s="78"/>
      <c r="Z62" s="6">
        <v>0</v>
      </c>
      <c r="AA62" s="6"/>
      <c r="AB62" s="6"/>
      <c r="AC62" s="6">
        <v>0</v>
      </c>
      <c r="AD62" s="6"/>
      <c r="AE62" s="6">
        <v>668</v>
      </c>
      <c r="AF62" s="75">
        <v>166848.36</v>
      </c>
      <c r="AG62" s="93"/>
      <c r="AH62" s="6"/>
    </row>
    <row r="63" spans="1:34">
      <c r="A63" s="61"/>
      <c r="B63" s="6" t="s">
        <v>98</v>
      </c>
      <c r="C63" s="6">
        <v>340</v>
      </c>
      <c r="D63" s="6">
        <v>12</v>
      </c>
      <c r="E63" s="75">
        <v>43564.74</v>
      </c>
      <c r="F63" s="76">
        <v>10863</v>
      </c>
      <c r="G63" s="75">
        <v>128.13</v>
      </c>
      <c r="H63" s="76">
        <v>0.2852</v>
      </c>
      <c r="I63" s="6">
        <v>21471.18</v>
      </c>
      <c r="J63" s="6">
        <v>0</v>
      </c>
      <c r="K63" s="6">
        <v>0</v>
      </c>
      <c r="L63" s="6">
        <v>0</v>
      </c>
      <c r="M63" s="6">
        <v>0</v>
      </c>
      <c r="N63" s="6" t="e">
        <v>#DIV/0!</v>
      </c>
      <c r="O63" s="6" t="e">
        <v>#DIV/0!</v>
      </c>
      <c r="P63" s="6">
        <v>0</v>
      </c>
      <c r="Q63" s="6">
        <v>0</v>
      </c>
      <c r="R63" s="6">
        <v>0</v>
      </c>
      <c r="S63" s="77">
        <v>0</v>
      </c>
      <c r="T63" s="76">
        <v>0</v>
      </c>
      <c r="U63" s="75" t="e">
        <v>#DIV/0!</v>
      </c>
      <c r="V63" s="76" t="e">
        <v>#DIV/0!</v>
      </c>
      <c r="W63" s="78">
        <v>0</v>
      </c>
      <c r="X63" s="78">
        <v>0</v>
      </c>
      <c r="Y63" s="78"/>
      <c r="Z63" s="6">
        <v>0</v>
      </c>
      <c r="AA63" s="6"/>
      <c r="AB63" s="6"/>
      <c r="AC63" s="6">
        <v>0</v>
      </c>
      <c r="AD63" s="6"/>
      <c r="AE63" s="6">
        <v>340</v>
      </c>
      <c r="AF63" s="75">
        <v>65035.92</v>
      </c>
      <c r="AG63" s="93"/>
      <c r="AH63" s="6"/>
    </row>
    <row r="64" spans="1:34">
      <c r="A64" s="61"/>
      <c r="B64" s="6" t="s">
        <v>108</v>
      </c>
      <c r="C64" s="6">
        <v>326</v>
      </c>
      <c r="D64" s="6">
        <v>-28</v>
      </c>
      <c r="E64" s="75">
        <v>66724.08</v>
      </c>
      <c r="F64" s="76">
        <v>5964</v>
      </c>
      <c r="G64" s="75">
        <v>204.68</v>
      </c>
      <c r="H64" s="76">
        <v>0.1925</v>
      </c>
      <c r="I64" s="6">
        <v>17444.22</v>
      </c>
      <c r="J64" s="6">
        <v>0</v>
      </c>
      <c r="K64" s="6">
        <v>0</v>
      </c>
      <c r="L64" s="6">
        <v>0</v>
      </c>
      <c r="M64" s="6">
        <v>0</v>
      </c>
      <c r="N64" s="6" t="e">
        <v>#DIV/0!</v>
      </c>
      <c r="O64" s="6" t="e">
        <v>#DIV/0!</v>
      </c>
      <c r="P64" s="6">
        <v>0</v>
      </c>
      <c r="Q64" s="6">
        <v>0</v>
      </c>
      <c r="R64" s="6">
        <v>0</v>
      </c>
      <c r="S64" s="77">
        <v>0</v>
      </c>
      <c r="T64" s="76">
        <v>0</v>
      </c>
      <c r="U64" s="75" t="e">
        <v>#DIV/0!</v>
      </c>
      <c r="V64" s="76" t="e">
        <v>#DIV/0!</v>
      </c>
      <c r="W64" s="78">
        <v>0</v>
      </c>
      <c r="X64" s="78">
        <v>0</v>
      </c>
      <c r="Y64" s="78"/>
      <c r="Z64" s="6">
        <v>0</v>
      </c>
      <c r="AA64" s="6"/>
      <c r="AB64" s="6"/>
      <c r="AC64" s="6">
        <v>0</v>
      </c>
      <c r="AD64" s="6"/>
      <c r="AE64" s="6">
        <v>326</v>
      </c>
      <c r="AF64" s="75">
        <v>84168.3</v>
      </c>
      <c r="AG64" s="93"/>
      <c r="AH64" s="6"/>
    </row>
    <row r="65" spans="1:34">
      <c r="A65" s="61"/>
      <c r="B65" s="6" t="s">
        <v>117</v>
      </c>
      <c r="C65" s="6">
        <v>18</v>
      </c>
      <c r="D65" s="6">
        <v>-2</v>
      </c>
      <c r="E65" s="75">
        <v>3349</v>
      </c>
      <c r="F65" s="76">
        <v>-6494</v>
      </c>
      <c r="G65" s="75">
        <v>186.06</v>
      </c>
      <c r="H65" s="76">
        <v>-0.6219</v>
      </c>
      <c r="I65" s="6">
        <v>971.74</v>
      </c>
      <c r="J65" s="6">
        <v>0</v>
      </c>
      <c r="K65" s="6">
        <v>0</v>
      </c>
      <c r="L65" s="6">
        <v>0</v>
      </c>
      <c r="M65" s="6">
        <v>0</v>
      </c>
      <c r="N65" s="6" t="e">
        <v>#DIV/0!</v>
      </c>
      <c r="O65" s="6" t="e">
        <v>#DIV/0!</v>
      </c>
      <c r="P65" s="6">
        <v>0</v>
      </c>
      <c r="Q65" s="6">
        <v>0</v>
      </c>
      <c r="R65" s="6">
        <v>0</v>
      </c>
      <c r="S65" s="77">
        <v>0</v>
      </c>
      <c r="T65" s="76">
        <v>0</v>
      </c>
      <c r="U65" s="75" t="e">
        <v>#DIV/0!</v>
      </c>
      <c r="V65" s="76" t="e">
        <v>#DIV/0!</v>
      </c>
      <c r="W65" s="78">
        <v>0</v>
      </c>
      <c r="X65" s="78">
        <v>0</v>
      </c>
      <c r="Y65" s="78"/>
      <c r="Z65" s="6">
        <v>0</v>
      </c>
      <c r="AA65" s="6"/>
      <c r="AB65" s="6"/>
      <c r="AC65" s="6">
        <v>0</v>
      </c>
      <c r="AD65" s="6"/>
      <c r="AE65" s="6">
        <v>18</v>
      </c>
      <c r="AF65" s="75">
        <v>4320.74</v>
      </c>
      <c r="AG65" s="93"/>
      <c r="AH65" s="6"/>
    </row>
    <row r="66" spans="1:34">
      <c r="A66" s="61"/>
      <c r="B66" s="6" t="s">
        <v>126</v>
      </c>
      <c r="C66" s="6">
        <v>720</v>
      </c>
      <c r="D66" s="6">
        <v>-162</v>
      </c>
      <c r="E66" s="75">
        <v>172879.92</v>
      </c>
      <c r="F66" s="76">
        <v>-34770</v>
      </c>
      <c r="G66" s="75">
        <v>240.11</v>
      </c>
      <c r="H66" s="76">
        <v>0.0199</v>
      </c>
      <c r="I66" s="6">
        <v>47629.52</v>
      </c>
      <c r="J66" s="6">
        <v>3</v>
      </c>
      <c r="K66" s="6">
        <v>0</v>
      </c>
      <c r="L66" s="6">
        <v>315.39</v>
      </c>
      <c r="M66" s="6">
        <v>25</v>
      </c>
      <c r="N66" s="6">
        <v>105.13</v>
      </c>
      <c r="O66" s="6">
        <v>0.087</v>
      </c>
      <c r="P66" s="6">
        <v>212.25</v>
      </c>
      <c r="Q66" s="6">
        <v>0</v>
      </c>
      <c r="R66" s="6">
        <v>0</v>
      </c>
      <c r="S66" s="77">
        <v>0</v>
      </c>
      <c r="T66" s="76">
        <v>0</v>
      </c>
      <c r="U66" s="75" t="e">
        <v>#DIV/0!</v>
      </c>
      <c r="V66" s="76" t="e">
        <v>#DIV/0!</v>
      </c>
      <c r="W66" s="78">
        <v>0</v>
      </c>
      <c r="X66" s="78">
        <v>0</v>
      </c>
      <c r="Y66" s="78"/>
      <c r="Z66" s="6">
        <v>0</v>
      </c>
      <c r="AA66" s="6"/>
      <c r="AB66" s="6"/>
      <c r="AC66" s="6">
        <v>0</v>
      </c>
      <c r="AD66" s="6"/>
      <c r="AE66" s="6">
        <v>723</v>
      </c>
      <c r="AF66" s="75">
        <v>221037.08</v>
      </c>
      <c r="AG66" s="93"/>
      <c r="AH66" s="6"/>
    </row>
    <row r="67" spans="1:34">
      <c r="A67" s="61"/>
      <c r="B67" s="6" t="s">
        <v>68</v>
      </c>
      <c r="C67" s="6">
        <v>643</v>
      </c>
      <c r="D67" s="6">
        <v>79</v>
      </c>
      <c r="E67" s="75">
        <v>159636.61</v>
      </c>
      <c r="F67" s="76">
        <v>27017</v>
      </c>
      <c r="G67" s="75">
        <v>248.27</v>
      </c>
      <c r="H67" s="76">
        <v>0.0558</v>
      </c>
      <c r="I67" s="6">
        <v>36665.77</v>
      </c>
      <c r="J67" s="6">
        <v>0</v>
      </c>
      <c r="K67" s="6">
        <v>0</v>
      </c>
      <c r="L67" s="6">
        <v>0</v>
      </c>
      <c r="M67" s="6">
        <v>0</v>
      </c>
      <c r="N67" s="6" t="e">
        <v>#DIV/0!</v>
      </c>
      <c r="O67" s="6" t="e">
        <v>#DIV/0!</v>
      </c>
      <c r="P67" s="6">
        <v>0</v>
      </c>
      <c r="Q67" s="6">
        <v>0</v>
      </c>
      <c r="R67" s="6">
        <v>0</v>
      </c>
      <c r="S67" s="77">
        <v>0</v>
      </c>
      <c r="T67" s="76">
        <v>0</v>
      </c>
      <c r="U67" s="75" t="e">
        <v>#DIV/0!</v>
      </c>
      <c r="V67" s="76" t="e">
        <v>#DIV/0!</v>
      </c>
      <c r="W67" s="78">
        <v>0</v>
      </c>
      <c r="X67" s="78">
        <v>0</v>
      </c>
      <c r="Y67" s="78"/>
      <c r="Z67" s="6">
        <v>0</v>
      </c>
      <c r="AA67" s="6"/>
      <c r="AB67" s="6"/>
      <c r="AC67" s="6">
        <v>0</v>
      </c>
      <c r="AD67" s="6"/>
      <c r="AE67" s="6">
        <v>643</v>
      </c>
      <c r="AF67" s="75">
        <v>196302.38</v>
      </c>
      <c r="AG67" s="93"/>
      <c r="AH67" s="6"/>
    </row>
    <row r="68" spans="1:34">
      <c r="A68" s="61"/>
      <c r="B68" s="6" t="s">
        <v>141</v>
      </c>
      <c r="C68" s="6">
        <v>5</v>
      </c>
      <c r="D68" s="6">
        <v>1</v>
      </c>
      <c r="E68" s="75">
        <v>1499.64</v>
      </c>
      <c r="F68" s="76">
        <v>-186</v>
      </c>
      <c r="G68" s="75">
        <v>299.93</v>
      </c>
      <c r="H68" s="76">
        <v>-0.2881</v>
      </c>
      <c r="I68" s="6">
        <v>353.75</v>
      </c>
      <c r="J68" s="6">
        <v>0</v>
      </c>
      <c r="K68" s="6">
        <v>0</v>
      </c>
      <c r="L68" s="6">
        <v>0</v>
      </c>
      <c r="M68" s="6">
        <v>0</v>
      </c>
      <c r="N68" s="6" t="e">
        <v>#DIV/0!</v>
      </c>
      <c r="O68" s="6" t="e">
        <v>#DIV/0!</v>
      </c>
      <c r="P68" s="6">
        <v>0</v>
      </c>
      <c r="Q68" s="6">
        <v>0</v>
      </c>
      <c r="R68" s="6">
        <v>0</v>
      </c>
      <c r="S68" s="77">
        <v>0</v>
      </c>
      <c r="T68" s="76">
        <v>0</v>
      </c>
      <c r="U68" s="75" t="e">
        <v>#DIV/0!</v>
      </c>
      <c r="V68" s="76" t="e">
        <v>#DIV/0!</v>
      </c>
      <c r="W68" s="78">
        <v>0</v>
      </c>
      <c r="X68" s="78">
        <v>0</v>
      </c>
      <c r="Y68" s="78"/>
      <c r="Z68" s="6">
        <v>0</v>
      </c>
      <c r="AA68" s="6"/>
      <c r="AB68" s="6"/>
      <c r="AC68" s="6">
        <v>0</v>
      </c>
      <c r="AD68" s="6"/>
      <c r="AE68" s="6">
        <v>5</v>
      </c>
      <c r="AF68" s="75">
        <v>1853.39</v>
      </c>
      <c r="AG68" s="93"/>
      <c r="AH68" s="6"/>
    </row>
    <row r="69" spans="1:34">
      <c r="A69" s="61"/>
      <c r="B69" s="6" t="s">
        <v>143</v>
      </c>
      <c r="C69" s="6">
        <v>783</v>
      </c>
      <c r="D69" s="6">
        <v>-65</v>
      </c>
      <c r="E69" s="75">
        <v>117535.71</v>
      </c>
      <c r="F69" s="76">
        <v>624</v>
      </c>
      <c r="G69" s="75">
        <v>150.11</v>
      </c>
      <c r="H69" s="76">
        <v>0.0888</v>
      </c>
      <c r="I69" s="6">
        <v>43251.41</v>
      </c>
      <c r="J69" s="6">
        <v>11</v>
      </c>
      <c r="K69" s="6">
        <v>-8</v>
      </c>
      <c r="L69" s="6">
        <v>2468.28</v>
      </c>
      <c r="M69" s="6">
        <v>-2183</v>
      </c>
      <c r="N69" s="6">
        <v>224.39</v>
      </c>
      <c r="O69" s="6">
        <v>-0.0833</v>
      </c>
      <c r="P69" s="6">
        <v>646.23</v>
      </c>
      <c r="Q69" s="6">
        <v>0</v>
      </c>
      <c r="R69" s="6">
        <v>0</v>
      </c>
      <c r="S69" s="77">
        <v>0</v>
      </c>
      <c r="T69" s="76">
        <v>0</v>
      </c>
      <c r="U69" s="75" t="e">
        <v>#DIV/0!</v>
      </c>
      <c r="V69" s="76" t="e">
        <v>#DIV/0!</v>
      </c>
      <c r="W69" s="78">
        <v>0</v>
      </c>
      <c r="X69" s="78">
        <v>0</v>
      </c>
      <c r="Y69" s="78"/>
      <c r="Z69" s="6">
        <v>0</v>
      </c>
      <c r="AA69" s="6"/>
      <c r="AB69" s="6"/>
      <c r="AC69" s="6">
        <v>0</v>
      </c>
      <c r="AD69" s="6"/>
      <c r="AE69" s="6">
        <v>794</v>
      </c>
      <c r="AF69" s="75">
        <v>163901.63</v>
      </c>
      <c r="AG69" s="93"/>
      <c r="AH69" s="6"/>
    </row>
    <row r="70" spans="1:34">
      <c r="A70" s="61"/>
      <c r="B70" s="6" t="s">
        <v>151</v>
      </c>
      <c r="C70" s="6">
        <v>161</v>
      </c>
      <c r="D70" s="6">
        <v>-35</v>
      </c>
      <c r="E70" s="75">
        <v>25107.3</v>
      </c>
      <c r="F70" s="76">
        <v>-810</v>
      </c>
      <c r="G70" s="75">
        <v>155.95</v>
      </c>
      <c r="H70" s="76">
        <v>0.1794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 t="e">
        <v>#DIV/0!</v>
      </c>
      <c r="O70" s="6" t="e">
        <v>#DIV/0!</v>
      </c>
      <c r="P70" s="6">
        <v>0</v>
      </c>
      <c r="Q70" s="6">
        <v>0</v>
      </c>
      <c r="R70" s="6">
        <v>0</v>
      </c>
      <c r="S70" s="77">
        <v>0</v>
      </c>
      <c r="T70" s="76">
        <v>0</v>
      </c>
      <c r="U70" s="75" t="e">
        <v>#DIV/0!</v>
      </c>
      <c r="V70" s="76" t="e">
        <v>#DIV/0!</v>
      </c>
      <c r="W70" s="78">
        <v>0</v>
      </c>
      <c r="X70" s="78">
        <v>0</v>
      </c>
      <c r="Y70" s="78"/>
      <c r="Z70" s="6">
        <v>0</v>
      </c>
      <c r="AA70" s="6"/>
      <c r="AB70" s="6"/>
      <c r="AC70" s="6">
        <v>0</v>
      </c>
      <c r="AD70" s="6"/>
      <c r="AE70" s="6">
        <v>161</v>
      </c>
      <c r="AF70" s="75">
        <v>25107.3</v>
      </c>
      <c r="AG70" s="93"/>
      <c r="AH70" s="6"/>
    </row>
    <row r="71" spans="1:34">
      <c r="A71" s="61"/>
      <c r="B71" s="6" t="s">
        <v>153</v>
      </c>
      <c r="C71" s="6">
        <v>197</v>
      </c>
      <c r="D71" s="6">
        <v>-54</v>
      </c>
      <c r="E71" s="75">
        <v>36929.31</v>
      </c>
      <c r="F71" s="76">
        <v>-2512</v>
      </c>
      <c r="G71" s="75">
        <v>187.46</v>
      </c>
      <c r="H71" s="76">
        <v>0.1929</v>
      </c>
      <c r="I71" s="6">
        <v>10542.95</v>
      </c>
      <c r="J71" s="6">
        <v>0</v>
      </c>
      <c r="K71" s="6">
        <v>0</v>
      </c>
      <c r="L71" s="6">
        <v>0</v>
      </c>
      <c r="M71" s="6">
        <v>0</v>
      </c>
      <c r="N71" s="6" t="e">
        <v>#DIV/0!</v>
      </c>
      <c r="O71" s="6" t="e">
        <v>#DIV/0!</v>
      </c>
      <c r="P71" s="6">
        <v>0</v>
      </c>
      <c r="Q71" s="6">
        <v>0</v>
      </c>
      <c r="R71" s="6">
        <v>0</v>
      </c>
      <c r="S71" s="77">
        <v>0</v>
      </c>
      <c r="T71" s="76">
        <v>0</v>
      </c>
      <c r="U71" s="75" t="e">
        <v>#DIV/0!</v>
      </c>
      <c r="V71" s="76" t="e">
        <v>#DIV/0!</v>
      </c>
      <c r="W71" s="78">
        <v>0</v>
      </c>
      <c r="X71" s="78">
        <v>0</v>
      </c>
      <c r="Y71" s="78"/>
      <c r="Z71" s="6">
        <v>0</v>
      </c>
      <c r="AA71" s="6"/>
      <c r="AB71" s="6"/>
      <c r="AC71" s="6">
        <v>0</v>
      </c>
      <c r="AD71" s="6"/>
      <c r="AE71" s="6">
        <v>197</v>
      </c>
      <c r="AF71" s="75">
        <v>47472.26</v>
      </c>
      <c r="AG71" s="93"/>
      <c r="AH71" s="6"/>
    </row>
    <row r="72" spans="1:34">
      <c r="A72" s="61"/>
      <c r="B72" s="6" t="s">
        <v>85</v>
      </c>
      <c r="C72" s="6">
        <v>741</v>
      </c>
      <c r="D72" s="6">
        <v>112</v>
      </c>
      <c r="E72" s="75">
        <v>245843.63</v>
      </c>
      <c r="F72" s="76">
        <v>55943</v>
      </c>
      <c r="G72" s="75">
        <v>331.77</v>
      </c>
      <c r="H72" s="76">
        <v>0.0989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 t="e">
        <v>#DIV/0!</v>
      </c>
      <c r="O72" s="6" t="e">
        <v>#DIV/0!</v>
      </c>
      <c r="P72" s="6">
        <v>0</v>
      </c>
      <c r="Q72" s="6">
        <v>0</v>
      </c>
      <c r="R72" s="6">
        <v>0</v>
      </c>
      <c r="S72" s="77">
        <v>0</v>
      </c>
      <c r="T72" s="76">
        <v>0</v>
      </c>
      <c r="U72" s="75" t="e">
        <v>#DIV/0!</v>
      </c>
      <c r="V72" s="76" t="e">
        <v>#DIV/0!</v>
      </c>
      <c r="W72" s="78">
        <v>0</v>
      </c>
      <c r="X72" s="78">
        <v>0</v>
      </c>
      <c r="Y72" s="78"/>
      <c r="Z72" s="6">
        <v>0</v>
      </c>
      <c r="AA72" s="6"/>
      <c r="AB72" s="6"/>
      <c r="AC72" s="6">
        <v>0</v>
      </c>
      <c r="AD72" s="6"/>
      <c r="AE72" s="6">
        <v>741</v>
      </c>
      <c r="AF72" s="75">
        <v>245843.63</v>
      </c>
      <c r="AG72" s="93"/>
      <c r="AH72" s="6"/>
    </row>
    <row r="73" spans="1:34">
      <c r="A73" s="61"/>
      <c r="B73" s="6" t="s">
        <v>156</v>
      </c>
      <c r="C73" s="6">
        <v>5</v>
      </c>
      <c r="D73" s="6">
        <v>5</v>
      </c>
      <c r="E73" s="75">
        <v>1898.67</v>
      </c>
      <c r="F73" s="76">
        <v>1899</v>
      </c>
      <c r="G73" s="75">
        <v>379.73</v>
      </c>
      <c r="H73" s="76" t="e">
        <v>#DIV/0!</v>
      </c>
      <c r="I73" s="6">
        <v>259.45</v>
      </c>
      <c r="J73" s="6">
        <v>0</v>
      </c>
      <c r="K73" s="6">
        <v>0</v>
      </c>
      <c r="L73" s="6">
        <v>0</v>
      </c>
      <c r="M73" s="6">
        <v>0</v>
      </c>
      <c r="N73" s="6" t="e">
        <v>#DIV/0!</v>
      </c>
      <c r="O73" s="6" t="e">
        <v>#DIV/0!</v>
      </c>
      <c r="P73" s="6">
        <v>0</v>
      </c>
      <c r="Q73" s="6">
        <v>0</v>
      </c>
      <c r="R73" s="6">
        <v>0</v>
      </c>
      <c r="S73" s="77">
        <v>0</v>
      </c>
      <c r="T73" s="76">
        <v>0</v>
      </c>
      <c r="U73" s="75" t="e">
        <v>#DIV/0!</v>
      </c>
      <c r="V73" s="76" t="e">
        <v>#DIV/0!</v>
      </c>
      <c r="W73" s="78">
        <v>0</v>
      </c>
      <c r="X73" s="78">
        <v>0</v>
      </c>
      <c r="Y73" s="78"/>
      <c r="Z73" s="6">
        <v>0</v>
      </c>
      <c r="AA73" s="6"/>
      <c r="AB73" s="6"/>
      <c r="AC73" s="6">
        <v>0</v>
      </c>
      <c r="AD73" s="6"/>
      <c r="AE73" s="6">
        <v>5</v>
      </c>
      <c r="AF73" s="75">
        <v>2158.12</v>
      </c>
      <c r="AG73" s="93"/>
      <c r="AH73" s="6"/>
    </row>
    <row r="74" spans="1:34">
      <c r="A74" s="61"/>
      <c r="B74" s="6" t="s">
        <v>158</v>
      </c>
      <c r="C74" s="6">
        <v>71</v>
      </c>
      <c r="D74" s="6">
        <v>-6</v>
      </c>
      <c r="E74" s="75">
        <v>17026.06</v>
      </c>
      <c r="F74" s="76">
        <v>-20494</v>
      </c>
      <c r="G74" s="75">
        <v>239.8</v>
      </c>
      <c r="H74" s="76">
        <v>-0.5079</v>
      </c>
      <c r="I74" s="6">
        <v>3684.19</v>
      </c>
      <c r="J74" s="6">
        <v>0</v>
      </c>
      <c r="K74" s="6">
        <v>0</v>
      </c>
      <c r="L74" s="6">
        <v>0</v>
      </c>
      <c r="M74" s="6">
        <v>0</v>
      </c>
      <c r="N74" s="6" t="e">
        <v>#DIV/0!</v>
      </c>
      <c r="O74" s="6" t="e">
        <v>#DIV/0!</v>
      </c>
      <c r="P74" s="6">
        <v>0</v>
      </c>
      <c r="Q74" s="6">
        <v>0</v>
      </c>
      <c r="R74" s="6">
        <v>0</v>
      </c>
      <c r="S74" s="77">
        <v>0</v>
      </c>
      <c r="T74" s="76">
        <v>0</v>
      </c>
      <c r="U74" s="75" t="e">
        <v>#DIV/0!</v>
      </c>
      <c r="V74" s="76" t="e">
        <v>#DIV/0!</v>
      </c>
      <c r="W74" s="78">
        <v>0</v>
      </c>
      <c r="X74" s="78">
        <v>0</v>
      </c>
      <c r="Y74" s="78"/>
      <c r="Z74" s="6">
        <v>0</v>
      </c>
      <c r="AA74" s="6"/>
      <c r="AB74" s="6"/>
      <c r="AC74" s="6">
        <v>0</v>
      </c>
      <c r="AD74" s="6"/>
      <c r="AE74" s="6">
        <v>71</v>
      </c>
      <c r="AF74" s="75">
        <v>20710.25</v>
      </c>
      <c r="AG74" s="93"/>
      <c r="AH74" s="6"/>
    </row>
    <row r="75" ht="16.5" spans="1:34">
      <c r="A75" s="61"/>
      <c r="B75" s="94" t="s">
        <v>161</v>
      </c>
      <c r="C75" s="6">
        <v>80</v>
      </c>
      <c r="D75" s="6">
        <v>-21</v>
      </c>
      <c r="E75" s="75">
        <v>28784.34</v>
      </c>
      <c r="F75" s="76">
        <v>-8083</v>
      </c>
      <c r="G75" s="75">
        <v>359.8</v>
      </c>
      <c r="H75" s="76">
        <v>-0.0143</v>
      </c>
      <c r="I75" s="6">
        <v>4151.2</v>
      </c>
      <c r="J75" s="6">
        <v>0</v>
      </c>
      <c r="K75" s="6">
        <v>0</v>
      </c>
      <c r="L75" s="6">
        <v>0</v>
      </c>
      <c r="M75" s="6">
        <v>0</v>
      </c>
      <c r="N75" s="6" t="e">
        <v>#DIV/0!</v>
      </c>
      <c r="O75" s="6" t="e">
        <v>#DIV/0!</v>
      </c>
      <c r="P75" s="6">
        <v>0</v>
      </c>
      <c r="Q75" s="6">
        <v>0</v>
      </c>
      <c r="R75" s="6">
        <v>0</v>
      </c>
      <c r="S75" s="77">
        <v>0</v>
      </c>
      <c r="T75" s="76">
        <v>0</v>
      </c>
      <c r="U75" s="75" t="e">
        <v>#DIV/0!</v>
      </c>
      <c r="V75" s="76" t="e">
        <v>#DIV/0!</v>
      </c>
      <c r="W75" s="78">
        <v>0</v>
      </c>
      <c r="X75" s="78">
        <v>0</v>
      </c>
      <c r="Y75" s="78"/>
      <c r="Z75" s="6">
        <v>0</v>
      </c>
      <c r="AA75" s="6"/>
      <c r="AB75" s="6"/>
      <c r="AC75" s="6">
        <v>0</v>
      </c>
      <c r="AD75" s="6"/>
      <c r="AE75" s="6">
        <v>80</v>
      </c>
      <c r="AF75" s="75">
        <v>32935.54</v>
      </c>
      <c r="AG75" s="93"/>
      <c r="AH75" s="6"/>
    </row>
    <row r="76" spans="1:34">
      <c r="A76" s="61"/>
      <c r="B76" s="6" t="s">
        <v>14</v>
      </c>
      <c r="C76" s="6">
        <v>241</v>
      </c>
      <c r="D76" s="6">
        <v>55</v>
      </c>
      <c r="E76" s="75">
        <v>86929.33</v>
      </c>
      <c r="F76" s="76">
        <v>27165</v>
      </c>
      <c r="G76" s="75">
        <v>360.7</v>
      </c>
      <c r="H76" s="76">
        <v>0.1226</v>
      </c>
      <c r="I76" s="6">
        <v>0</v>
      </c>
      <c r="J76" s="6">
        <v>291</v>
      </c>
      <c r="K76" s="6">
        <v>-97</v>
      </c>
      <c r="L76" s="6">
        <v>47496.8</v>
      </c>
      <c r="M76" s="6">
        <v>-17519</v>
      </c>
      <c r="N76" s="6">
        <v>163.22</v>
      </c>
      <c r="O76" s="6">
        <v>-0.026</v>
      </c>
      <c r="P76" s="6">
        <v>0</v>
      </c>
      <c r="Q76" s="6">
        <v>5</v>
      </c>
      <c r="R76" s="6">
        <v>-1</v>
      </c>
      <c r="S76" s="77">
        <v>5322</v>
      </c>
      <c r="T76" s="76">
        <v>1826</v>
      </c>
      <c r="U76" s="75">
        <v>1064.4</v>
      </c>
      <c r="V76" s="76">
        <v>0.8268</v>
      </c>
      <c r="W76" s="78">
        <v>0</v>
      </c>
      <c r="X76" s="78">
        <v>0</v>
      </c>
      <c r="Y76" s="78"/>
      <c r="Z76" s="6">
        <v>0</v>
      </c>
      <c r="AA76" s="6"/>
      <c r="AB76" s="6"/>
      <c r="AC76" s="6">
        <v>0</v>
      </c>
      <c r="AD76" s="6"/>
      <c r="AE76" s="6">
        <v>537</v>
      </c>
      <c r="AF76" s="75">
        <v>139748.13</v>
      </c>
      <c r="AG76" s="93"/>
      <c r="AH76" s="6"/>
    </row>
    <row r="77" spans="1:34">
      <c r="A77" s="61"/>
      <c r="B77" s="6" t="s">
        <v>124</v>
      </c>
      <c r="C77" s="6">
        <v>16</v>
      </c>
      <c r="D77" s="6">
        <v>-22</v>
      </c>
      <c r="E77" s="75">
        <v>2794.13</v>
      </c>
      <c r="F77" s="76">
        <v>-3387</v>
      </c>
      <c r="G77" s="75">
        <v>174.63</v>
      </c>
      <c r="H77" s="76">
        <v>0.0736</v>
      </c>
      <c r="I77" s="6">
        <v>830.24</v>
      </c>
      <c r="J77" s="6">
        <v>0</v>
      </c>
      <c r="K77" s="6">
        <v>0</v>
      </c>
      <c r="L77" s="6">
        <v>0</v>
      </c>
      <c r="M77" s="6">
        <v>0</v>
      </c>
      <c r="N77" s="6" t="e">
        <v>#DIV/0!</v>
      </c>
      <c r="O77" s="6" t="e">
        <v>#DIV/0!</v>
      </c>
      <c r="P77" s="6">
        <v>0</v>
      </c>
      <c r="Q77" s="6">
        <v>0</v>
      </c>
      <c r="R77" s="6">
        <v>0</v>
      </c>
      <c r="S77" s="77">
        <v>0</v>
      </c>
      <c r="T77" s="76">
        <v>0</v>
      </c>
      <c r="U77" s="75" t="e">
        <v>#DIV/0!</v>
      </c>
      <c r="V77" s="76" t="e">
        <v>#DIV/0!</v>
      </c>
      <c r="W77" s="78">
        <v>0</v>
      </c>
      <c r="X77" s="78">
        <v>0</v>
      </c>
      <c r="Y77" s="78"/>
      <c r="Z77" s="6">
        <v>0</v>
      </c>
      <c r="AA77" s="6"/>
      <c r="AB77" s="6"/>
      <c r="AC77" s="6">
        <v>0</v>
      </c>
      <c r="AD77" s="6"/>
      <c r="AE77" s="6">
        <v>16</v>
      </c>
      <c r="AF77" s="75">
        <v>3624.37</v>
      </c>
      <c r="AG77" s="93"/>
      <c r="AH77" s="6"/>
    </row>
    <row r="78" spans="1:34">
      <c r="A78" s="61"/>
      <c r="B78" s="6" t="s">
        <v>165</v>
      </c>
      <c r="C78" s="6">
        <v>197</v>
      </c>
      <c r="D78" s="6">
        <v>107</v>
      </c>
      <c r="E78" s="75">
        <v>13543.44</v>
      </c>
      <c r="F78" s="76">
        <v>7549</v>
      </c>
      <c r="G78" s="75">
        <v>68.75</v>
      </c>
      <c r="H78" s="76">
        <v>0.0323</v>
      </c>
      <c r="I78" s="6">
        <v>10429.79</v>
      </c>
      <c r="J78" s="6">
        <v>0</v>
      </c>
      <c r="K78" s="6">
        <v>0</v>
      </c>
      <c r="L78" s="6">
        <v>0</v>
      </c>
      <c r="M78" s="6">
        <v>0</v>
      </c>
      <c r="N78" s="6" t="e">
        <v>#DIV/0!</v>
      </c>
      <c r="O78" s="6" t="e">
        <v>#DIV/0!</v>
      </c>
      <c r="P78" s="6">
        <v>0</v>
      </c>
      <c r="Q78" s="6">
        <v>0</v>
      </c>
      <c r="R78" s="6">
        <v>0</v>
      </c>
      <c r="S78" s="77">
        <v>0</v>
      </c>
      <c r="T78" s="76">
        <v>0</v>
      </c>
      <c r="U78" s="75" t="e">
        <v>#DIV/0!</v>
      </c>
      <c r="V78" s="76" t="e">
        <v>#DIV/0!</v>
      </c>
      <c r="W78" s="78">
        <v>0</v>
      </c>
      <c r="X78" s="78">
        <v>0</v>
      </c>
      <c r="Y78" s="78"/>
      <c r="Z78" s="6">
        <v>0</v>
      </c>
      <c r="AA78" s="6"/>
      <c r="AB78" s="6"/>
      <c r="AC78" s="6">
        <v>0</v>
      </c>
      <c r="AD78" s="6"/>
      <c r="AE78" s="6">
        <v>197</v>
      </c>
      <c r="AF78" s="75">
        <v>23973.23</v>
      </c>
      <c r="AG78" s="93"/>
      <c r="AH78" s="6"/>
    </row>
    <row r="79" spans="1:34">
      <c r="A79" s="61"/>
      <c r="B79" s="6" t="s">
        <v>147</v>
      </c>
      <c r="C79" s="6">
        <v>449</v>
      </c>
      <c r="D79" s="6">
        <v>-448</v>
      </c>
      <c r="E79" s="75">
        <v>87166.34</v>
      </c>
      <c r="F79" s="76">
        <v>-119552</v>
      </c>
      <c r="G79" s="75">
        <v>194.13</v>
      </c>
      <c r="H79" s="76">
        <v>-0.1576</v>
      </c>
      <c r="I79" s="6">
        <v>8873.19</v>
      </c>
      <c r="J79" s="6">
        <v>0</v>
      </c>
      <c r="K79" s="6">
        <v>0</v>
      </c>
      <c r="L79" s="6">
        <v>0</v>
      </c>
      <c r="M79" s="6">
        <v>0</v>
      </c>
      <c r="N79" s="6" t="e">
        <v>#DIV/0!</v>
      </c>
      <c r="O79" s="6" t="e">
        <v>#DIV/0!</v>
      </c>
      <c r="P79" s="6">
        <v>0</v>
      </c>
      <c r="Q79" s="6">
        <v>0</v>
      </c>
      <c r="R79" s="6">
        <v>0</v>
      </c>
      <c r="S79" s="77">
        <v>0</v>
      </c>
      <c r="T79" s="76">
        <v>0</v>
      </c>
      <c r="U79" s="75" t="e">
        <v>#DIV/0!</v>
      </c>
      <c r="V79" s="76" t="e">
        <v>#DIV/0!</v>
      </c>
      <c r="W79" s="78">
        <v>0</v>
      </c>
      <c r="X79" s="78">
        <v>0</v>
      </c>
      <c r="Y79" s="78"/>
      <c r="Z79" s="6">
        <v>0</v>
      </c>
      <c r="AA79" s="6"/>
      <c r="AB79" s="6"/>
      <c r="AC79" s="6">
        <v>0</v>
      </c>
      <c r="AD79" s="6"/>
      <c r="AE79" s="6">
        <v>449</v>
      </c>
      <c r="AF79" s="75">
        <v>96039.53</v>
      </c>
      <c r="AG79" s="93"/>
      <c r="AH79" s="6"/>
    </row>
    <row r="80" spans="1:34">
      <c r="A80" s="62"/>
      <c r="B80" s="6" t="s">
        <v>170</v>
      </c>
      <c r="C80" s="6">
        <v>32</v>
      </c>
      <c r="D80" s="6">
        <v>19</v>
      </c>
      <c r="E80" s="75">
        <v>7582.64</v>
      </c>
      <c r="F80" s="76">
        <v>5116</v>
      </c>
      <c r="G80" s="75">
        <v>236.96</v>
      </c>
      <c r="H80" s="76">
        <v>0.249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 t="e">
        <v>#DIV/0!</v>
      </c>
      <c r="O80" s="6" t="e">
        <v>#DIV/0!</v>
      </c>
      <c r="P80" s="6">
        <v>0</v>
      </c>
      <c r="Q80" s="6">
        <v>0</v>
      </c>
      <c r="R80" s="6">
        <v>0</v>
      </c>
      <c r="S80" s="77">
        <v>0</v>
      </c>
      <c r="T80" s="76">
        <v>0</v>
      </c>
      <c r="U80" s="75" t="e">
        <v>#DIV/0!</v>
      </c>
      <c r="V80" s="76" t="e">
        <v>#DIV/0!</v>
      </c>
      <c r="W80" s="78">
        <v>0</v>
      </c>
      <c r="X80" s="78">
        <v>0</v>
      </c>
      <c r="Y80" s="78"/>
      <c r="Z80" s="6">
        <v>0</v>
      </c>
      <c r="AA80" s="6"/>
      <c r="AB80" s="6"/>
      <c r="AC80" s="6">
        <v>0</v>
      </c>
      <c r="AD80" s="6"/>
      <c r="AE80" s="6">
        <v>32</v>
      </c>
      <c r="AF80" s="75">
        <v>7582.64</v>
      </c>
      <c r="AG80" s="93"/>
      <c r="AH80" s="6"/>
    </row>
    <row r="81" spans="1:34">
      <c r="A81" s="62"/>
      <c r="B81" s="6" t="s">
        <v>172</v>
      </c>
      <c r="C81" s="6">
        <v>0</v>
      </c>
      <c r="D81" s="6">
        <v>0</v>
      </c>
      <c r="E81" s="75">
        <v>0</v>
      </c>
      <c r="F81" s="76">
        <v>0</v>
      </c>
      <c r="G81" s="75" t="e">
        <v>#DIV/0!</v>
      </c>
      <c r="H81" s="76" t="e">
        <v>#DIV/0!</v>
      </c>
      <c r="I81" s="6">
        <v>0</v>
      </c>
      <c r="J81" s="6">
        <v>74</v>
      </c>
      <c r="K81" s="6">
        <v>-2</v>
      </c>
      <c r="L81" s="6">
        <v>12895.81</v>
      </c>
      <c r="M81" s="6">
        <v>-1814</v>
      </c>
      <c r="N81" s="6">
        <v>174.27</v>
      </c>
      <c r="O81" s="6">
        <v>-0.0996</v>
      </c>
      <c r="P81" s="6">
        <v>0</v>
      </c>
      <c r="Q81" s="6">
        <v>0</v>
      </c>
      <c r="R81" s="6">
        <v>0</v>
      </c>
      <c r="S81" s="77">
        <v>0</v>
      </c>
      <c r="T81" s="76">
        <v>0</v>
      </c>
      <c r="U81" s="75" t="e">
        <v>#DIV/0!</v>
      </c>
      <c r="V81" s="76" t="e">
        <v>#DIV/0!</v>
      </c>
      <c r="W81" s="78">
        <v>0</v>
      </c>
      <c r="X81" s="78">
        <v>12584.59</v>
      </c>
      <c r="Y81" s="78"/>
      <c r="Z81" s="6">
        <v>0</v>
      </c>
      <c r="AA81" s="6"/>
      <c r="AB81" s="6"/>
      <c r="AC81" s="6">
        <v>0</v>
      </c>
      <c r="AD81" s="6"/>
      <c r="AE81" s="6">
        <v>74</v>
      </c>
      <c r="AF81" s="75">
        <v>25480.4</v>
      </c>
      <c r="AG81" s="93"/>
      <c r="AH81" s="6"/>
    </row>
    <row r="82" spans="1:34">
      <c r="A82" s="62"/>
      <c r="B82" s="6" t="s">
        <v>174</v>
      </c>
      <c r="C82" s="6">
        <v>0</v>
      </c>
      <c r="D82" s="6">
        <v>0</v>
      </c>
      <c r="E82" s="75">
        <v>0</v>
      </c>
      <c r="F82" s="76">
        <v>0</v>
      </c>
      <c r="G82" s="75" t="e">
        <v>#DIV/0!</v>
      </c>
      <c r="H82" s="76" t="e">
        <v>#DIV/0!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 t="e">
        <v>#DIV/0!</v>
      </c>
      <c r="O82" s="6" t="e">
        <v>#DIV/0!</v>
      </c>
      <c r="P82" s="6">
        <v>0</v>
      </c>
      <c r="Q82" s="6">
        <v>0</v>
      </c>
      <c r="R82" s="6">
        <v>0</v>
      </c>
      <c r="S82" s="77">
        <v>0</v>
      </c>
      <c r="T82" s="76">
        <v>0</v>
      </c>
      <c r="U82" s="75" t="e">
        <v>#DIV/0!</v>
      </c>
      <c r="V82" s="76" t="e">
        <v>#DIV/0!</v>
      </c>
      <c r="W82" s="78">
        <v>0</v>
      </c>
      <c r="X82" s="78">
        <v>0</v>
      </c>
      <c r="Y82" s="78"/>
      <c r="Z82" s="6">
        <v>0</v>
      </c>
      <c r="AA82" s="6"/>
      <c r="AB82" s="6"/>
      <c r="AC82" s="6">
        <v>0</v>
      </c>
      <c r="AD82" s="6"/>
      <c r="AE82" s="6">
        <v>0</v>
      </c>
      <c r="AF82" s="75">
        <v>0</v>
      </c>
      <c r="AG82" s="93"/>
      <c r="AH82" s="6"/>
    </row>
    <row r="83" spans="1:34">
      <c r="A83" s="62"/>
      <c r="B83" s="6" t="s">
        <v>167</v>
      </c>
      <c r="C83" s="6">
        <v>66</v>
      </c>
      <c r="D83" s="6">
        <v>-14</v>
      </c>
      <c r="E83" s="75">
        <v>17765.63</v>
      </c>
      <c r="F83" s="76">
        <v>-6822</v>
      </c>
      <c r="G83" s="75">
        <v>269.18</v>
      </c>
      <c r="H83" s="76">
        <v>-0.1242</v>
      </c>
      <c r="I83" s="6">
        <v>3688.78</v>
      </c>
      <c r="J83" s="6">
        <v>0</v>
      </c>
      <c r="K83" s="6">
        <v>0</v>
      </c>
      <c r="L83" s="6">
        <v>0</v>
      </c>
      <c r="M83" s="6">
        <v>0</v>
      </c>
      <c r="N83" s="6" t="e">
        <v>#DIV/0!</v>
      </c>
      <c r="O83" s="6" t="e">
        <v>#DIV/0!</v>
      </c>
      <c r="P83" s="6">
        <v>0</v>
      </c>
      <c r="Q83" s="6">
        <v>0</v>
      </c>
      <c r="R83" s="6">
        <v>0</v>
      </c>
      <c r="S83" s="77">
        <v>0</v>
      </c>
      <c r="T83" s="76">
        <v>0</v>
      </c>
      <c r="U83" s="75" t="e">
        <v>#DIV/0!</v>
      </c>
      <c r="V83" s="76" t="e">
        <v>#DIV/0!</v>
      </c>
      <c r="W83" s="78">
        <v>0</v>
      </c>
      <c r="X83" s="78">
        <v>0</v>
      </c>
      <c r="Y83" s="78"/>
      <c r="Z83" s="6">
        <v>0</v>
      </c>
      <c r="AA83" s="6"/>
      <c r="AB83" s="6"/>
      <c r="AC83" s="6">
        <v>0</v>
      </c>
      <c r="AD83" s="6"/>
      <c r="AE83" s="6">
        <v>66</v>
      </c>
      <c r="AF83" s="75">
        <v>21454.41</v>
      </c>
      <c r="AG83" s="93"/>
      <c r="AH83" s="6"/>
    </row>
    <row r="84" spans="1:34">
      <c r="A84" s="63"/>
      <c r="B84" s="12" t="s">
        <v>207</v>
      </c>
      <c r="C84" s="12">
        <v>8918</v>
      </c>
      <c r="D84" s="12">
        <v>-312</v>
      </c>
      <c r="E84" s="54">
        <v>2024257.62</v>
      </c>
      <c r="F84" s="86">
        <v>19809</v>
      </c>
      <c r="G84" s="85">
        <v>226.99</v>
      </c>
      <c r="H84" s="86">
        <v>0.0452</v>
      </c>
      <c r="I84" s="12">
        <v>378948.64</v>
      </c>
      <c r="J84" s="12">
        <v>454</v>
      </c>
      <c r="K84" s="12">
        <v>-63</v>
      </c>
      <c r="L84" s="12">
        <v>74620.2</v>
      </c>
      <c r="M84" s="12">
        <v>-14392</v>
      </c>
      <c r="N84" s="12">
        <v>164.36</v>
      </c>
      <c r="O84" s="12">
        <v>-0.0454</v>
      </c>
      <c r="P84" s="12">
        <v>6636.63</v>
      </c>
      <c r="Q84" s="12">
        <v>5</v>
      </c>
      <c r="R84" s="12">
        <v>-1</v>
      </c>
      <c r="S84" s="87">
        <v>5322</v>
      </c>
      <c r="T84" s="86">
        <v>1826</v>
      </c>
      <c r="U84" s="85">
        <v>1064.4</v>
      </c>
      <c r="V84" s="86">
        <v>0.8268</v>
      </c>
      <c r="W84" s="88">
        <v>0</v>
      </c>
      <c r="X84" s="88">
        <v>31924.79</v>
      </c>
      <c r="Y84" s="88">
        <v>0</v>
      </c>
      <c r="Z84" s="88">
        <v>1254.64</v>
      </c>
      <c r="AA84" s="88">
        <v>0</v>
      </c>
      <c r="AB84" s="88">
        <v>0</v>
      </c>
      <c r="AC84" s="88">
        <v>0</v>
      </c>
      <c r="AD84" s="88">
        <v>0</v>
      </c>
      <c r="AE84" s="89">
        <v>9377</v>
      </c>
      <c r="AF84" s="88">
        <v>2521709.88</v>
      </c>
      <c r="AG84" s="95"/>
      <c r="AH84" s="12"/>
    </row>
    <row r="85" ht="16" customHeight="1" spans="1:34">
      <c r="A85" s="9" t="s">
        <v>208</v>
      </c>
      <c r="B85" s="9"/>
      <c r="C85" s="8">
        <v>18081</v>
      </c>
      <c r="D85" s="8">
        <v>-52</v>
      </c>
      <c r="E85" s="8">
        <v>3930754.07</v>
      </c>
      <c r="F85" s="8">
        <v>29359</v>
      </c>
      <c r="G85" s="80">
        <v>217.4</v>
      </c>
      <c r="H85" s="8">
        <v>0.0105</v>
      </c>
      <c r="I85" s="8">
        <v>721750.6</v>
      </c>
      <c r="J85" s="8">
        <v>669</v>
      </c>
      <c r="K85" s="8">
        <v>-117</v>
      </c>
      <c r="L85" s="8">
        <v>125013.82</v>
      </c>
      <c r="M85" s="8">
        <v>-16537</v>
      </c>
      <c r="N85" s="80">
        <v>186.87</v>
      </c>
      <c r="O85" s="8">
        <v>0.0376</v>
      </c>
      <c r="P85" s="8">
        <v>13041.95</v>
      </c>
      <c r="Q85" s="8">
        <v>797</v>
      </c>
      <c r="R85" s="8">
        <v>-389</v>
      </c>
      <c r="S85" s="8">
        <v>131491</v>
      </c>
      <c r="T85" s="8">
        <v>-9494</v>
      </c>
      <c r="U85" s="80">
        <v>164.98</v>
      </c>
      <c r="V85" s="8">
        <v>0.3879</v>
      </c>
      <c r="W85" s="8">
        <v>30080.46</v>
      </c>
      <c r="X85" s="8">
        <v>87696</v>
      </c>
      <c r="Y85" s="8">
        <v>36922.19</v>
      </c>
      <c r="Z85" s="8">
        <v>1962.14</v>
      </c>
      <c r="AA85" s="8">
        <v>312623.25</v>
      </c>
      <c r="AB85" s="8">
        <v>43532.08</v>
      </c>
      <c r="AC85" s="8">
        <v>940626.88</v>
      </c>
      <c r="AD85" s="8">
        <v>9254.72</v>
      </c>
      <c r="AE85" s="8">
        <v>19547</v>
      </c>
      <c r="AF85" s="8">
        <v>6382787.02</v>
      </c>
      <c r="AG85" s="8"/>
      <c r="AH85" s="96"/>
    </row>
    <row r="86" spans="1:34">
      <c r="A86" t="s">
        <v>363</v>
      </c>
      <c r="F86" t="s">
        <v>478</v>
      </c>
      <c r="G86">
        <v>257.31</v>
      </c>
      <c r="M86" t="s">
        <v>478</v>
      </c>
      <c r="N86">
        <v>206.36</v>
      </c>
      <c r="T86" t="s">
        <v>478</v>
      </c>
      <c r="U86">
        <v>202.72</v>
      </c>
    </row>
    <row r="87" spans="1:34">
      <c r="A87" t="s">
        <v>359</v>
      </c>
      <c r="E87">
        <v>4441752.0991</v>
      </c>
      <c r="F87" t="s">
        <v>479</v>
      </c>
      <c r="G87">
        <v>245.66</v>
      </c>
      <c r="I87">
        <v>765055.64</v>
      </c>
      <c r="L87">
        <v>141265.62</v>
      </c>
      <c r="M87" t="s">
        <v>479</v>
      </c>
      <c r="N87">
        <v>211.16</v>
      </c>
      <c r="P87">
        <v>13824.467</v>
      </c>
      <c r="S87">
        <v>148584.83</v>
      </c>
      <c r="T87" t="s">
        <v>479</v>
      </c>
      <c r="U87">
        <v>186.43</v>
      </c>
      <c r="W87">
        <v>31885.29</v>
      </c>
      <c r="X87">
        <v>99096.48</v>
      </c>
      <c r="Y87">
        <v>39137.52</v>
      </c>
      <c r="Z87">
        <v>2079.8684</v>
      </c>
      <c r="AA87">
        <v>331380.645</v>
      </c>
      <c r="AB87">
        <v>46144.0048</v>
      </c>
      <c r="AC87">
        <v>997064.4928</v>
      </c>
      <c r="AD87">
        <v>9810.0032</v>
      </c>
      <c r="AF87">
        <v>7067080.9519</v>
      </c>
    </row>
    <row r="88" spans="1:34">
      <c r="A88" t="s">
        <v>359</v>
      </c>
      <c r="F88" t="s">
        <v>480</v>
      </c>
      <c r="G88">
        <v>287.97</v>
      </c>
      <c r="M88" t="s">
        <v>480</v>
      </c>
      <c r="N88">
        <v>231.82</v>
      </c>
      <c r="T88" t="s">
        <v>480</v>
      </c>
      <c r="U88">
        <v>226.44</v>
      </c>
    </row>
  </sheetData>
  <mergeCells count="20">
    <mergeCell ref="A1:B1"/>
    <mergeCell ref="C1:I1"/>
    <mergeCell ref="J1:P1"/>
    <mergeCell ref="Q1:W1"/>
    <mergeCell ref="X1:AD1"/>
    <mergeCell ref="AE1:AH1"/>
    <mergeCell ref="A2:B2"/>
    <mergeCell ref="A35:B35"/>
    <mergeCell ref="A51:B51"/>
    <mergeCell ref="C51:I51"/>
    <mergeCell ref="J51:P51"/>
    <mergeCell ref="Q51:V51"/>
    <mergeCell ref="X51:AD51"/>
    <mergeCell ref="AE51:AH51"/>
    <mergeCell ref="A52:B52"/>
    <mergeCell ref="A85:B85"/>
    <mergeCell ref="A3:A9"/>
    <mergeCell ref="A10:A34"/>
    <mergeCell ref="A53:A59"/>
    <mergeCell ref="A60:A84"/>
  </mergeCells>
  <pageMargins left="0.75" right="0.75" top="1" bottom="1" header="0.5" footer="0.5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2:M30"/>
  <sheetViews>
    <sheetView workbookViewId="0">
      <selection activeCell="K36" sqref="K36"/>
    </sheetView>
  </sheetViews>
  <sheetFormatPr defaultColWidth="15.5083333333333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9" width="10.8" customWidth="1"/>
    <col min="10" max="11" width="9.73333333333333" customWidth="1"/>
    <col min="12" max="13" width="11.7333333333333" customWidth="1"/>
    <col min="14" max="16384" width="15.5083333333333" customWidth="1"/>
  </cols>
  <sheetData>
    <row r="2" spans="1:13">
      <c r="A2" t="s">
        <v>451</v>
      </c>
      <c r="B2" t="s">
        <v>452</v>
      </c>
      <c r="C2" t="s">
        <v>453</v>
      </c>
      <c r="D2" t="s">
        <v>433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459</v>
      </c>
      <c r="K2" t="s">
        <v>460</v>
      </c>
      <c r="L2" t="s">
        <v>461</v>
      </c>
      <c r="M2" t="s">
        <v>462</v>
      </c>
    </row>
    <row r="3" spans="1:13">
      <c r="A3" t="s">
        <v>50</v>
      </c>
      <c r="E3">
        <v>1550</v>
      </c>
      <c r="F3">
        <v>10375.06</v>
      </c>
      <c r="G3">
        <v>177369.14</v>
      </c>
      <c r="H3">
        <v>404207.287522124</v>
      </c>
      <c r="I3">
        <v>404207.29</v>
      </c>
      <c r="J3">
        <v>0</v>
      </c>
      <c r="K3" t="s">
        <v>483</v>
      </c>
      <c r="L3">
        <v>1919.93</v>
      </c>
      <c r="M3">
        <v>406127.22</v>
      </c>
    </row>
    <row r="4" spans="1:13">
      <c r="A4" t="s">
        <v>117</v>
      </c>
      <c r="E4">
        <v>18</v>
      </c>
      <c r="F4">
        <v>104.2</v>
      </c>
      <c r="G4">
        <v>4829.73</v>
      </c>
      <c r="H4">
        <v>6789.18</v>
      </c>
      <c r="I4">
        <v>6789.18</v>
      </c>
      <c r="J4">
        <v>0</v>
      </c>
      <c r="K4" t="s">
        <v>186</v>
      </c>
      <c r="L4">
        <v>1028.32</v>
      </c>
      <c r="M4">
        <v>7817.5</v>
      </c>
    </row>
    <row r="5" spans="1:13">
      <c r="A5" t="s">
        <v>167</v>
      </c>
      <c r="E5">
        <v>46</v>
      </c>
      <c r="F5">
        <v>127.4</v>
      </c>
      <c r="G5">
        <v>4609.04</v>
      </c>
      <c r="H5">
        <v>6922.11</v>
      </c>
      <c r="I5">
        <v>6922.11</v>
      </c>
      <c r="J5">
        <v>0</v>
      </c>
      <c r="K5" t="s">
        <v>484</v>
      </c>
      <c r="L5">
        <v>2632.12</v>
      </c>
      <c r="M5">
        <v>9554.23</v>
      </c>
    </row>
    <row r="6" spans="1:13">
      <c r="A6" t="s">
        <v>172</v>
      </c>
      <c r="E6">
        <v>23</v>
      </c>
      <c r="F6">
        <v>121.72</v>
      </c>
      <c r="G6">
        <v>3574.33</v>
      </c>
      <c r="H6">
        <v>5394.30088495575</v>
      </c>
      <c r="I6">
        <v>5394.33</v>
      </c>
      <c r="J6">
        <v>0</v>
      </c>
      <c r="K6" t="s">
        <v>485</v>
      </c>
      <c r="L6">
        <v>0</v>
      </c>
      <c r="M6">
        <v>5394.33</v>
      </c>
    </row>
    <row r="7" spans="1:13">
      <c r="A7" t="s">
        <v>55</v>
      </c>
      <c r="E7">
        <v>1360</v>
      </c>
      <c r="F7">
        <v>7047.44</v>
      </c>
      <c r="G7">
        <v>160257.99</v>
      </c>
      <c r="H7">
        <v>298212.99</v>
      </c>
      <c r="I7">
        <v>298212.99</v>
      </c>
      <c r="J7">
        <v>0</v>
      </c>
      <c r="K7" t="s">
        <v>486</v>
      </c>
      <c r="L7">
        <v>46807.17</v>
      </c>
      <c r="M7">
        <v>345020.16</v>
      </c>
    </row>
    <row r="8" spans="1:13">
      <c r="A8" t="s">
        <v>124</v>
      </c>
      <c r="E8">
        <v>4</v>
      </c>
      <c r="F8">
        <v>12.27</v>
      </c>
      <c r="G8">
        <v>1025.18</v>
      </c>
      <c r="H8">
        <v>1267.3</v>
      </c>
      <c r="I8">
        <v>1267.3</v>
      </c>
      <c r="J8">
        <v>0</v>
      </c>
      <c r="K8" t="s">
        <v>487</v>
      </c>
      <c r="L8">
        <v>207.56</v>
      </c>
      <c r="M8">
        <v>1474.86</v>
      </c>
    </row>
    <row r="9" spans="1:13">
      <c r="A9" t="s">
        <v>19</v>
      </c>
      <c r="E9">
        <v>2105</v>
      </c>
      <c r="F9">
        <v>5477.66</v>
      </c>
      <c r="G9">
        <v>163710.89</v>
      </c>
      <c r="H9">
        <v>270133.648230089</v>
      </c>
      <c r="I9">
        <v>267703.36</v>
      </c>
      <c r="J9">
        <v>0</v>
      </c>
      <c r="K9" t="s">
        <v>488</v>
      </c>
      <c r="L9">
        <v>130280.8</v>
      </c>
      <c r="M9">
        <v>397984.16</v>
      </c>
    </row>
    <row r="10" spans="1:13">
      <c r="A10" t="s">
        <v>83</v>
      </c>
      <c r="E10">
        <v>482</v>
      </c>
      <c r="F10">
        <v>1155.62</v>
      </c>
      <c r="G10">
        <v>35880.19</v>
      </c>
      <c r="H10">
        <v>57073.6344247788</v>
      </c>
      <c r="I10">
        <v>56861.24</v>
      </c>
      <c r="J10">
        <v>0</v>
      </c>
      <c r="K10" t="s">
        <v>489</v>
      </c>
      <c r="L10">
        <v>28688.68</v>
      </c>
      <c r="M10">
        <v>85549.92</v>
      </c>
    </row>
    <row r="11" spans="1:13">
      <c r="A11" t="s">
        <v>158</v>
      </c>
      <c r="E11">
        <v>69</v>
      </c>
      <c r="F11">
        <v>222.55</v>
      </c>
      <c r="G11">
        <v>9153.68</v>
      </c>
      <c r="H11">
        <v>13299.35</v>
      </c>
      <c r="I11">
        <v>13299.35</v>
      </c>
      <c r="J11">
        <v>0</v>
      </c>
      <c r="K11" t="s">
        <v>490</v>
      </c>
      <c r="L11">
        <v>3580.41</v>
      </c>
      <c r="M11">
        <v>16879.76</v>
      </c>
    </row>
    <row r="12" spans="1:13">
      <c r="A12" t="s">
        <v>14</v>
      </c>
      <c r="E12">
        <v>368</v>
      </c>
      <c r="F12">
        <v>2551.86</v>
      </c>
      <c r="G12">
        <v>44762.01</v>
      </c>
      <c r="H12">
        <v>96072.5490265487</v>
      </c>
      <c r="I12">
        <v>92070.48</v>
      </c>
      <c r="J12">
        <v>0</v>
      </c>
      <c r="K12" t="s">
        <v>485</v>
      </c>
      <c r="L12">
        <v>0</v>
      </c>
      <c r="M12">
        <v>92070.48</v>
      </c>
    </row>
    <row r="13" spans="1:13">
      <c r="A13" t="s">
        <v>153</v>
      </c>
      <c r="E13">
        <v>133</v>
      </c>
      <c r="F13">
        <v>618.39</v>
      </c>
      <c r="G13">
        <v>10683.57</v>
      </c>
      <c r="H13">
        <v>22860.85</v>
      </c>
      <c r="I13">
        <v>22860.85</v>
      </c>
      <c r="J13">
        <v>0</v>
      </c>
      <c r="K13" t="s">
        <v>491</v>
      </c>
      <c r="L13">
        <v>7542.61</v>
      </c>
      <c r="M13">
        <v>30403.46</v>
      </c>
    </row>
    <row r="14" spans="1:13">
      <c r="A14" t="s">
        <v>126</v>
      </c>
      <c r="E14">
        <v>722</v>
      </c>
      <c r="F14">
        <v>1770.62</v>
      </c>
      <c r="G14">
        <v>176030.75</v>
      </c>
      <c r="H14">
        <v>183113.81</v>
      </c>
      <c r="I14">
        <v>182609.65</v>
      </c>
      <c r="J14">
        <v>0</v>
      </c>
      <c r="K14" t="s">
        <v>492</v>
      </c>
      <c r="L14">
        <v>49723.58</v>
      </c>
      <c r="M14">
        <v>232333.23</v>
      </c>
    </row>
    <row r="15" spans="1:13">
      <c r="A15" t="s">
        <v>68</v>
      </c>
      <c r="E15">
        <v>576</v>
      </c>
      <c r="F15">
        <v>3806.45</v>
      </c>
      <c r="G15">
        <v>58958.61</v>
      </c>
      <c r="H15">
        <v>140575.47</v>
      </c>
      <c r="I15">
        <v>140575.47</v>
      </c>
      <c r="J15">
        <v>0</v>
      </c>
      <c r="K15" t="s">
        <v>493</v>
      </c>
      <c r="L15">
        <v>32472.46</v>
      </c>
      <c r="M15">
        <v>173047.93</v>
      </c>
    </row>
    <row r="16" spans="1:13">
      <c r="A16" t="s">
        <v>165</v>
      </c>
      <c r="E16">
        <v>39</v>
      </c>
      <c r="F16">
        <v>38.29</v>
      </c>
      <c r="G16">
        <v>2339.31</v>
      </c>
      <c r="H16">
        <v>2976.91</v>
      </c>
      <c r="I16">
        <v>2976.91</v>
      </c>
      <c r="J16">
        <v>0</v>
      </c>
      <c r="K16" t="s">
        <v>494</v>
      </c>
      <c r="L16">
        <v>2080.29</v>
      </c>
      <c r="M16">
        <v>5057.2</v>
      </c>
    </row>
    <row r="17" spans="1:13">
      <c r="A17" t="s">
        <v>9</v>
      </c>
      <c r="E17">
        <v>177</v>
      </c>
      <c r="F17">
        <v>786.17</v>
      </c>
      <c r="G17">
        <v>16353.67</v>
      </c>
      <c r="H17">
        <v>29878.7922123894</v>
      </c>
      <c r="I17">
        <v>29878.78</v>
      </c>
      <c r="J17">
        <v>6557.03</v>
      </c>
      <c r="K17" t="s">
        <v>495</v>
      </c>
      <c r="L17">
        <v>5367.92</v>
      </c>
      <c r="M17">
        <v>41803.73</v>
      </c>
    </row>
    <row r="18" spans="1:13">
      <c r="A18" t="s">
        <v>147</v>
      </c>
      <c r="E18">
        <v>524</v>
      </c>
      <c r="F18">
        <v>2326.97</v>
      </c>
      <c r="G18">
        <v>61782.57</v>
      </c>
      <c r="H18">
        <v>107384.05</v>
      </c>
      <c r="I18">
        <v>107384.05</v>
      </c>
      <c r="J18">
        <v>0</v>
      </c>
      <c r="K18" t="s">
        <v>496</v>
      </c>
      <c r="L18">
        <v>11052.57</v>
      </c>
      <c r="M18">
        <v>118436.62</v>
      </c>
    </row>
    <row r="19" spans="1:13">
      <c r="A19" t="s">
        <v>76</v>
      </c>
      <c r="E19">
        <v>715</v>
      </c>
      <c r="F19">
        <v>3812.2</v>
      </c>
      <c r="G19">
        <v>85878.21</v>
      </c>
      <c r="H19">
        <v>162733.047079646</v>
      </c>
      <c r="I19">
        <v>162733.05</v>
      </c>
      <c r="J19">
        <v>0</v>
      </c>
      <c r="K19" t="s">
        <v>497</v>
      </c>
      <c r="L19">
        <v>25864.77</v>
      </c>
      <c r="M19">
        <v>188597.82</v>
      </c>
    </row>
    <row r="20" spans="1:13">
      <c r="A20" t="s">
        <v>12</v>
      </c>
      <c r="E20">
        <v>311</v>
      </c>
      <c r="F20">
        <v>2192.13</v>
      </c>
      <c r="G20">
        <v>42734.57</v>
      </c>
      <c r="H20">
        <v>88458.9579646018</v>
      </c>
      <c r="I20">
        <v>88458.96</v>
      </c>
      <c r="J20">
        <v>2654.39</v>
      </c>
      <c r="K20" t="s">
        <v>485</v>
      </c>
      <c r="L20">
        <v>0</v>
      </c>
      <c r="M20">
        <v>91113.35</v>
      </c>
    </row>
    <row r="21" spans="1:13">
      <c r="A21" t="s">
        <v>161</v>
      </c>
      <c r="E21">
        <v>76</v>
      </c>
      <c r="F21">
        <v>943.28</v>
      </c>
      <c r="G21">
        <v>9978.6</v>
      </c>
      <c r="H21">
        <v>31207.73</v>
      </c>
      <c r="I21">
        <v>31207.73</v>
      </c>
      <c r="J21">
        <v>0</v>
      </c>
      <c r="K21" t="s">
        <v>498</v>
      </c>
      <c r="L21">
        <v>3943.64</v>
      </c>
      <c r="M21">
        <v>35151.37</v>
      </c>
    </row>
    <row r="22" spans="1:13">
      <c r="A22" t="s">
        <v>85</v>
      </c>
      <c r="E22">
        <v>329</v>
      </c>
      <c r="F22">
        <v>2471.16</v>
      </c>
      <c r="G22">
        <v>53148.68</v>
      </c>
      <c r="H22">
        <v>104072.59</v>
      </c>
      <c r="I22">
        <v>104072.59</v>
      </c>
      <c r="J22">
        <v>0</v>
      </c>
      <c r="K22" t="s">
        <v>485</v>
      </c>
      <c r="L22">
        <v>0</v>
      </c>
      <c r="M22">
        <v>104072.59</v>
      </c>
    </row>
    <row r="23" spans="1:13">
      <c r="A23" t="s">
        <v>98</v>
      </c>
      <c r="E23">
        <v>295</v>
      </c>
      <c r="F23">
        <v>492.68</v>
      </c>
      <c r="G23">
        <v>17160.13</v>
      </c>
      <c r="H23">
        <v>24988.93</v>
      </c>
      <c r="I23">
        <v>24988.93</v>
      </c>
      <c r="J23">
        <v>0</v>
      </c>
      <c r="K23" t="s">
        <v>499</v>
      </c>
      <c r="L23">
        <v>17570.75</v>
      </c>
      <c r="M23">
        <v>42559.68</v>
      </c>
    </row>
    <row r="24" spans="1:13">
      <c r="A24" t="s">
        <v>151</v>
      </c>
      <c r="E24">
        <v>94</v>
      </c>
      <c r="F24">
        <v>209.59</v>
      </c>
      <c r="G24">
        <v>9572.62</v>
      </c>
      <c r="H24">
        <v>13838.93</v>
      </c>
      <c r="I24">
        <v>13838.93</v>
      </c>
      <c r="J24">
        <v>0</v>
      </c>
      <c r="K24" t="s">
        <v>485</v>
      </c>
      <c r="L24">
        <v>0</v>
      </c>
      <c r="M24">
        <v>13838.93</v>
      </c>
    </row>
    <row r="25" spans="1:13">
      <c r="A25" t="s">
        <v>143</v>
      </c>
      <c r="E25">
        <v>507</v>
      </c>
      <c r="F25">
        <v>1625.3</v>
      </c>
      <c r="G25">
        <v>47259.45</v>
      </c>
      <c r="H25">
        <v>77750.4660176991</v>
      </c>
      <c r="I25">
        <v>77192.94</v>
      </c>
      <c r="J25">
        <v>0</v>
      </c>
      <c r="K25" t="s">
        <v>500</v>
      </c>
      <c r="L25">
        <v>27817.03</v>
      </c>
      <c r="M25">
        <v>105009.97</v>
      </c>
    </row>
    <row r="26" spans="1:13">
      <c r="A26" t="s">
        <v>170</v>
      </c>
      <c r="E26">
        <v>55</v>
      </c>
      <c r="F26">
        <v>285.85</v>
      </c>
      <c r="G26">
        <v>11007.59</v>
      </c>
      <c r="H26">
        <v>16632.26</v>
      </c>
      <c r="I26">
        <v>16632.26</v>
      </c>
      <c r="J26">
        <v>0</v>
      </c>
      <c r="K26" t="s">
        <v>485</v>
      </c>
      <c r="L26">
        <v>0</v>
      </c>
      <c r="M26">
        <v>16632.26</v>
      </c>
    </row>
    <row r="27" spans="1:13">
      <c r="A27" t="s">
        <v>108</v>
      </c>
      <c r="E27">
        <v>313</v>
      </c>
      <c r="F27">
        <v>1455.52</v>
      </c>
      <c r="G27">
        <v>33831.72</v>
      </c>
      <c r="H27">
        <v>62316.04</v>
      </c>
      <c r="I27">
        <v>62316.04</v>
      </c>
      <c r="J27">
        <v>0</v>
      </c>
      <c r="K27" t="s">
        <v>501</v>
      </c>
      <c r="L27">
        <v>16581.05</v>
      </c>
      <c r="M27">
        <v>78897.09</v>
      </c>
    </row>
    <row r="28" spans="1:13">
      <c r="A28" t="s">
        <v>46</v>
      </c>
      <c r="E28">
        <v>1045</v>
      </c>
      <c r="F28">
        <v>4891.02</v>
      </c>
      <c r="G28">
        <v>83701.16</v>
      </c>
      <c r="H28">
        <v>191838.924159292</v>
      </c>
      <c r="I28">
        <v>191498.21</v>
      </c>
      <c r="J28">
        <v>0</v>
      </c>
      <c r="K28" t="s">
        <v>502</v>
      </c>
      <c r="L28">
        <v>44707.62</v>
      </c>
      <c r="M28">
        <v>236205.83</v>
      </c>
    </row>
    <row r="29" spans="1:13">
      <c r="A29" t="s">
        <v>30</v>
      </c>
      <c r="E29">
        <v>1448</v>
      </c>
      <c r="F29">
        <v>7238.8</v>
      </c>
      <c r="G29">
        <v>137762.7</v>
      </c>
      <c r="H29">
        <v>296911.93079646</v>
      </c>
      <c r="I29">
        <v>295836.72</v>
      </c>
      <c r="J29">
        <v>0</v>
      </c>
      <c r="K29" t="s">
        <v>503</v>
      </c>
      <c r="L29">
        <v>71318.11</v>
      </c>
      <c r="M29">
        <v>367154.83</v>
      </c>
    </row>
    <row r="30" spans="1:13">
      <c r="A30" t="s">
        <v>504</v>
      </c>
      <c r="E30">
        <v>13384</v>
      </c>
      <c r="F30">
        <v>62160.2</v>
      </c>
      <c r="G30">
        <v>1463356.09</v>
      </c>
      <c r="H30">
        <v>2716912.04</v>
      </c>
      <c r="I30">
        <v>2707789.7</v>
      </c>
      <c r="J30">
        <v>9211.42</v>
      </c>
      <c r="K30" t="s">
        <v>505</v>
      </c>
      <c r="L30">
        <v>531187.39</v>
      </c>
      <c r="M30">
        <v>3248188.51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2:M29"/>
  <sheetViews>
    <sheetView workbookViewId="0">
      <selection activeCell="K31" sqref="K31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9" width="11.7333333333333" customWidth="1"/>
    <col min="10" max="11" width="9.73333333333333" customWidth="1"/>
    <col min="12" max="13" width="11.7333333333333" customWidth="1"/>
  </cols>
  <sheetData>
    <row r="2" spans="1:13">
      <c r="A2" t="s">
        <v>451</v>
      </c>
      <c r="B2" t="s">
        <v>452</v>
      </c>
      <c r="C2" t="s">
        <v>453</v>
      </c>
      <c r="D2" t="s">
        <v>433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459</v>
      </c>
      <c r="K2" t="s">
        <v>460</v>
      </c>
      <c r="L2" t="s">
        <v>461</v>
      </c>
      <c r="M2" t="s">
        <v>462</v>
      </c>
    </row>
    <row r="3" spans="1:13">
      <c r="A3" t="s">
        <v>50</v>
      </c>
      <c r="E3">
        <v>1535</v>
      </c>
      <c r="F3">
        <v>10296.09</v>
      </c>
      <c r="G3">
        <v>173573.32</v>
      </c>
      <c r="H3">
        <v>399301.73</v>
      </c>
      <c r="I3">
        <v>399301.73</v>
      </c>
      <c r="J3">
        <v>0</v>
      </c>
      <c r="K3" t="s">
        <v>483</v>
      </c>
      <c r="L3">
        <v>1919.93</v>
      </c>
      <c r="M3">
        <v>401221.66</v>
      </c>
    </row>
    <row r="4" spans="1:13">
      <c r="A4" t="s">
        <v>117</v>
      </c>
      <c r="E4">
        <v>18</v>
      </c>
      <c r="F4">
        <v>104.2</v>
      </c>
      <c r="G4">
        <v>4829.73</v>
      </c>
      <c r="H4">
        <v>6789.18</v>
      </c>
      <c r="I4">
        <v>6789.18</v>
      </c>
      <c r="J4">
        <v>0</v>
      </c>
      <c r="K4" t="s">
        <v>186</v>
      </c>
      <c r="L4">
        <v>1028.32</v>
      </c>
      <c r="M4">
        <v>7817.5</v>
      </c>
    </row>
    <row r="5" spans="1:13">
      <c r="A5" t="s">
        <v>167</v>
      </c>
      <c r="E5">
        <v>46</v>
      </c>
      <c r="F5">
        <v>127.4</v>
      </c>
      <c r="G5">
        <v>4609.04</v>
      </c>
      <c r="H5">
        <v>6922.11</v>
      </c>
      <c r="I5">
        <v>6922.11</v>
      </c>
      <c r="J5">
        <v>0</v>
      </c>
      <c r="K5" t="s">
        <v>484</v>
      </c>
      <c r="L5">
        <v>2632.12</v>
      </c>
      <c r="M5">
        <v>9554.23</v>
      </c>
    </row>
    <row r="6" spans="1:13">
      <c r="A6" t="s">
        <v>55</v>
      </c>
      <c r="E6">
        <v>1360</v>
      </c>
      <c r="F6">
        <v>7047.44</v>
      </c>
      <c r="G6">
        <v>160257.99</v>
      </c>
      <c r="H6">
        <v>298212.99</v>
      </c>
      <c r="I6">
        <v>298212.99</v>
      </c>
      <c r="J6">
        <v>0</v>
      </c>
      <c r="K6" t="s">
        <v>486</v>
      </c>
      <c r="L6">
        <v>46807.17</v>
      </c>
      <c r="M6">
        <v>345020.16</v>
      </c>
    </row>
    <row r="7" spans="1:13">
      <c r="A7" t="s">
        <v>124</v>
      </c>
      <c r="E7">
        <v>4</v>
      </c>
      <c r="F7">
        <v>12.27</v>
      </c>
      <c r="G7">
        <v>1025.18</v>
      </c>
      <c r="H7">
        <v>1267.3</v>
      </c>
      <c r="I7">
        <v>1267.3</v>
      </c>
      <c r="J7">
        <v>0</v>
      </c>
      <c r="K7" t="s">
        <v>487</v>
      </c>
      <c r="L7">
        <v>207.56</v>
      </c>
      <c r="M7">
        <v>1474.86</v>
      </c>
    </row>
    <row r="8" spans="1:13">
      <c r="A8" t="s">
        <v>19</v>
      </c>
      <c r="E8">
        <v>2073</v>
      </c>
      <c r="F8">
        <v>5332.94</v>
      </c>
      <c r="G8">
        <v>158288.97</v>
      </c>
      <c r="H8">
        <v>262809.25</v>
      </c>
      <c r="I8">
        <v>262069.23</v>
      </c>
      <c r="J8">
        <v>0</v>
      </c>
      <c r="K8" t="s">
        <v>506</v>
      </c>
      <c r="L8">
        <v>128427.13</v>
      </c>
      <c r="M8">
        <v>390496.36</v>
      </c>
    </row>
    <row r="9" spans="1:13">
      <c r="A9" t="s">
        <v>83</v>
      </c>
      <c r="E9">
        <v>478</v>
      </c>
      <c r="F9">
        <v>1136.07</v>
      </c>
      <c r="G9">
        <v>35249.55</v>
      </c>
      <c r="H9">
        <v>56154.13</v>
      </c>
      <c r="I9">
        <v>56154.13</v>
      </c>
      <c r="J9">
        <v>0</v>
      </c>
      <c r="K9" t="s">
        <v>507</v>
      </c>
      <c r="L9">
        <v>28462.26</v>
      </c>
      <c r="M9">
        <v>84616.39</v>
      </c>
    </row>
    <row r="10" spans="1:13">
      <c r="A10" t="s">
        <v>158</v>
      </c>
      <c r="E10">
        <v>69</v>
      </c>
      <c r="F10">
        <v>222.55</v>
      </c>
      <c r="G10">
        <v>9153.68</v>
      </c>
      <c r="H10">
        <v>13299.35</v>
      </c>
      <c r="I10">
        <v>13299.35</v>
      </c>
      <c r="J10">
        <v>0</v>
      </c>
      <c r="K10" t="s">
        <v>490</v>
      </c>
      <c r="L10">
        <v>3580.41</v>
      </c>
      <c r="M10">
        <v>16879.76</v>
      </c>
    </row>
    <row r="11" spans="1:13">
      <c r="A11" t="s">
        <v>14</v>
      </c>
      <c r="E11">
        <v>174</v>
      </c>
      <c r="F11">
        <v>1759.91</v>
      </c>
      <c r="G11">
        <v>28288.72</v>
      </c>
      <c r="H11">
        <v>65932.08</v>
      </c>
      <c r="I11">
        <v>65932.08</v>
      </c>
      <c r="J11">
        <v>0</v>
      </c>
      <c r="K11" t="s">
        <v>485</v>
      </c>
      <c r="L11">
        <v>0</v>
      </c>
      <c r="M11">
        <v>65932.08</v>
      </c>
    </row>
    <row r="12" spans="1:13">
      <c r="A12" t="s">
        <v>153</v>
      </c>
      <c r="E12">
        <v>133</v>
      </c>
      <c r="F12">
        <v>618.39</v>
      </c>
      <c r="G12">
        <v>10683.57</v>
      </c>
      <c r="H12">
        <v>22860.85</v>
      </c>
      <c r="I12">
        <v>22860.85</v>
      </c>
      <c r="J12">
        <v>0</v>
      </c>
      <c r="K12" t="s">
        <v>491</v>
      </c>
      <c r="L12">
        <v>7542.61</v>
      </c>
      <c r="M12">
        <v>30403.46</v>
      </c>
    </row>
    <row r="13" spans="1:13">
      <c r="A13" t="s">
        <v>126</v>
      </c>
      <c r="E13">
        <v>722</v>
      </c>
      <c r="F13">
        <v>1770.62</v>
      </c>
      <c r="G13">
        <v>176030.75</v>
      </c>
      <c r="H13">
        <v>183113.81</v>
      </c>
      <c r="I13">
        <v>182609.65</v>
      </c>
      <c r="J13">
        <v>0</v>
      </c>
      <c r="K13" t="s">
        <v>492</v>
      </c>
      <c r="L13">
        <v>49723.58</v>
      </c>
      <c r="M13">
        <v>232333.23</v>
      </c>
    </row>
    <row r="14" spans="1:13">
      <c r="A14" t="s">
        <v>68</v>
      </c>
      <c r="E14">
        <v>576</v>
      </c>
      <c r="F14">
        <v>3806.45</v>
      </c>
      <c r="G14">
        <v>58958.61</v>
      </c>
      <c r="H14">
        <v>140575.47</v>
      </c>
      <c r="I14">
        <v>140575.47</v>
      </c>
      <c r="J14">
        <v>0</v>
      </c>
      <c r="K14" t="s">
        <v>493</v>
      </c>
      <c r="L14">
        <v>32472.46</v>
      </c>
      <c r="M14">
        <v>173047.93</v>
      </c>
    </row>
    <row r="15" spans="1:13">
      <c r="A15" t="s">
        <v>165</v>
      </c>
      <c r="E15">
        <v>39</v>
      </c>
      <c r="F15">
        <v>38.29</v>
      </c>
      <c r="G15">
        <v>2339.31</v>
      </c>
      <c r="H15">
        <v>2976.91</v>
      </c>
      <c r="I15">
        <v>2976.91</v>
      </c>
      <c r="J15">
        <v>0</v>
      </c>
      <c r="K15" t="s">
        <v>494</v>
      </c>
      <c r="L15">
        <v>2080.29</v>
      </c>
      <c r="M15">
        <v>5057.2</v>
      </c>
    </row>
    <row r="16" spans="1:13">
      <c r="A16" t="s">
        <v>9</v>
      </c>
      <c r="E16">
        <v>150</v>
      </c>
      <c r="F16">
        <v>704.11</v>
      </c>
      <c r="G16">
        <v>15821.77</v>
      </c>
      <c r="H16">
        <v>28764.04</v>
      </c>
      <c r="I16">
        <v>28764.04</v>
      </c>
      <c r="J16">
        <v>0</v>
      </c>
      <c r="K16" t="s">
        <v>495</v>
      </c>
      <c r="L16">
        <v>5367.92</v>
      </c>
      <c r="M16">
        <v>34131.96</v>
      </c>
    </row>
    <row r="17" spans="1:13">
      <c r="A17" t="s">
        <v>147</v>
      </c>
      <c r="E17">
        <v>524</v>
      </c>
      <c r="F17">
        <v>2326.97</v>
      </c>
      <c r="G17">
        <v>61782.57</v>
      </c>
      <c r="H17">
        <v>107384.05</v>
      </c>
      <c r="I17">
        <v>107384.05</v>
      </c>
      <c r="J17">
        <v>0</v>
      </c>
      <c r="K17" t="s">
        <v>496</v>
      </c>
      <c r="L17">
        <v>11052.57</v>
      </c>
      <c r="M17">
        <v>118436.62</v>
      </c>
    </row>
    <row r="18" spans="1:13">
      <c r="A18" t="s">
        <v>76</v>
      </c>
      <c r="E18">
        <v>706</v>
      </c>
      <c r="F18">
        <v>3744.18</v>
      </c>
      <c r="G18">
        <v>83584.77</v>
      </c>
      <c r="H18">
        <v>159428.64</v>
      </c>
      <c r="I18">
        <v>159428.64</v>
      </c>
      <c r="J18">
        <v>0</v>
      </c>
      <c r="K18" t="s">
        <v>497</v>
      </c>
      <c r="L18">
        <v>25864.77</v>
      </c>
      <c r="M18">
        <v>185293.41</v>
      </c>
    </row>
    <row r="19" spans="1:13">
      <c r="A19" t="s">
        <v>12</v>
      </c>
      <c r="E19">
        <v>280</v>
      </c>
      <c r="F19">
        <v>2027.82</v>
      </c>
      <c r="G19">
        <v>39465.7</v>
      </c>
      <c r="H19">
        <v>82443.25</v>
      </c>
      <c r="I19">
        <v>82443.25</v>
      </c>
      <c r="J19">
        <v>2534.69</v>
      </c>
      <c r="K19" t="s">
        <v>485</v>
      </c>
      <c r="L19">
        <v>0</v>
      </c>
      <c r="M19">
        <v>84977.94</v>
      </c>
    </row>
    <row r="20" spans="1:13">
      <c r="A20" t="s">
        <v>161</v>
      </c>
      <c r="E20">
        <v>76</v>
      </c>
      <c r="F20">
        <v>943.28</v>
      </c>
      <c r="G20">
        <v>9978.6</v>
      </c>
      <c r="H20">
        <v>31207.73</v>
      </c>
      <c r="I20">
        <v>31207.73</v>
      </c>
      <c r="J20">
        <v>0</v>
      </c>
      <c r="K20" t="s">
        <v>498</v>
      </c>
      <c r="L20">
        <v>3943.64</v>
      </c>
      <c r="M20">
        <v>35151.37</v>
      </c>
    </row>
    <row r="21" spans="1:13">
      <c r="A21" t="s">
        <v>85</v>
      </c>
      <c r="E21">
        <v>329</v>
      </c>
      <c r="F21">
        <v>2471.16</v>
      </c>
      <c r="G21">
        <v>53148.68</v>
      </c>
      <c r="H21">
        <v>104072.59</v>
      </c>
      <c r="I21">
        <v>104072.59</v>
      </c>
      <c r="J21">
        <v>0</v>
      </c>
      <c r="K21" t="s">
        <v>485</v>
      </c>
      <c r="L21">
        <v>0</v>
      </c>
      <c r="M21">
        <v>104072.59</v>
      </c>
    </row>
    <row r="22" spans="1:13">
      <c r="A22" t="s">
        <v>98</v>
      </c>
      <c r="E22">
        <v>295</v>
      </c>
      <c r="F22">
        <v>492.68</v>
      </c>
      <c r="G22">
        <v>17160.13</v>
      </c>
      <c r="H22">
        <v>24988.93</v>
      </c>
      <c r="I22">
        <v>24988.93</v>
      </c>
      <c r="J22">
        <v>0</v>
      </c>
      <c r="K22" t="s">
        <v>499</v>
      </c>
      <c r="L22">
        <v>17570.75</v>
      </c>
      <c r="M22">
        <v>42559.68</v>
      </c>
    </row>
    <row r="23" spans="1:13">
      <c r="A23" t="s">
        <v>151</v>
      </c>
      <c r="E23">
        <v>94</v>
      </c>
      <c r="F23">
        <v>209.59</v>
      </c>
      <c r="G23">
        <v>9572.62</v>
      </c>
      <c r="H23">
        <v>13838.93</v>
      </c>
      <c r="I23">
        <v>13838.93</v>
      </c>
      <c r="J23">
        <v>0</v>
      </c>
      <c r="K23" t="s">
        <v>485</v>
      </c>
      <c r="L23">
        <v>0</v>
      </c>
      <c r="M23">
        <v>13838.93</v>
      </c>
    </row>
    <row r="24" spans="1:13">
      <c r="A24" t="s">
        <v>143</v>
      </c>
      <c r="E24">
        <v>497</v>
      </c>
      <c r="F24">
        <v>1578.2</v>
      </c>
      <c r="G24">
        <v>45046.1</v>
      </c>
      <c r="H24">
        <v>75006.82</v>
      </c>
      <c r="I24">
        <v>75006.82</v>
      </c>
      <c r="J24">
        <v>0</v>
      </c>
      <c r="K24" t="s">
        <v>497</v>
      </c>
      <c r="L24">
        <v>27222.69</v>
      </c>
      <c r="M24">
        <v>102229.51</v>
      </c>
    </row>
    <row r="25" spans="1:13">
      <c r="A25" t="s">
        <v>170</v>
      </c>
      <c r="E25">
        <v>55</v>
      </c>
      <c r="F25">
        <v>285.85</v>
      </c>
      <c r="G25">
        <v>11007.59</v>
      </c>
      <c r="H25">
        <v>16632.26</v>
      </c>
      <c r="I25">
        <v>16632.26</v>
      </c>
      <c r="J25">
        <v>0</v>
      </c>
      <c r="K25" t="s">
        <v>485</v>
      </c>
      <c r="L25">
        <v>0</v>
      </c>
      <c r="M25">
        <v>16632.26</v>
      </c>
    </row>
    <row r="26" spans="1:13">
      <c r="A26" t="s">
        <v>108</v>
      </c>
      <c r="E26">
        <v>313</v>
      </c>
      <c r="F26">
        <v>1455.52</v>
      </c>
      <c r="G26">
        <v>33831.72</v>
      </c>
      <c r="H26">
        <v>62316.04</v>
      </c>
      <c r="I26">
        <v>62316.04</v>
      </c>
      <c r="J26">
        <v>0</v>
      </c>
      <c r="K26" t="s">
        <v>501</v>
      </c>
      <c r="L26">
        <v>16581.05</v>
      </c>
      <c r="M26">
        <v>78897.09</v>
      </c>
    </row>
    <row r="27" spans="1:13">
      <c r="A27" t="s">
        <v>46</v>
      </c>
      <c r="E27">
        <v>1038</v>
      </c>
      <c r="F27">
        <v>4872.96</v>
      </c>
      <c r="G27">
        <v>83045.87</v>
      </c>
      <c r="H27">
        <v>190834.11</v>
      </c>
      <c r="I27">
        <v>190834.11</v>
      </c>
      <c r="J27">
        <v>0</v>
      </c>
      <c r="K27" t="s">
        <v>508</v>
      </c>
      <c r="L27">
        <v>44344.39</v>
      </c>
      <c r="M27">
        <v>235178.5</v>
      </c>
    </row>
    <row r="28" spans="1:13">
      <c r="A28" t="s">
        <v>30</v>
      </c>
      <c r="E28">
        <v>1431</v>
      </c>
      <c r="F28">
        <v>7123.61</v>
      </c>
      <c r="G28">
        <v>133723.02</v>
      </c>
      <c r="H28">
        <v>291234.86</v>
      </c>
      <c r="I28">
        <v>291234.86</v>
      </c>
      <c r="J28">
        <v>0</v>
      </c>
      <c r="K28" t="s">
        <v>509</v>
      </c>
      <c r="L28">
        <v>70171.94</v>
      </c>
      <c r="M28">
        <v>361406.8</v>
      </c>
    </row>
    <row r="29" spans="1:13">
      <c r="A29" t="s">
        <v>504</v>
      </c>
      <c r="E29">
        <v>13015</v>
      </c>
      <c r="F29">
        <v>60508.55</v>
      </c>
      <c r="G29">
        <v>1420457.56</v>
      </c>
      <c r="H29">
        <v>2648367.41</v>
      </c>
      <c r="I29">
        <v>2647123.23</v>
      </c>
      <c r="J29">
        <v>2534.69</v>
      </c>
      <c r="K29" t="s">
        <v>510</v>
      </c>
      <c r="L29">
        <v>527003.56</v>
      </c>
      <c r="M29">
        <v>3176661.48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2:M14"/>
  <sheetViews>
    <sheetView workbookViewId="0">
      <selection activeCell="A17" sqref="A17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11" width="9.73333333333333" customWidth="1"/>
    <col min="12" max="12" width="11.7333333333333" customWidth="1"/>
    <col min="13" max="13" width="9.73333333333333" customWidth="1"/>
  </cols>
  <sheetData>
    <row r="2" spans="1:13">
      <c r="A2" t="s">
        <v>451</v>
      </c>
      <c r="B2" t="s">
        <v>452</v>
      </c>
      <c r="C2" t="s">
        <v>453</v>
      </c>
      <c r="D2" t="s">
        <v>433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459</v>
      </c>
      <c r="K2" t="s">
        <v>460</v>
      </c>
      <c r="L2" t="s">
        <v>461</v>
      </c>
      <c r="M2" t="s">
        <v>462</v>
      </c>
    </row>
    <row r="3" spans="1:13">
      <c r="A3" t="s">
        <v>50</v>
      </c>
      <c r="E3">
        <v>15</v>
      </c>
      <c r="F3">
        <v>78.97</v>
      </c>
      <c r="G3">
        <v>3795.82</v>
      </c>
      <c r="H3">
        <v>4905.55752212389</v>
      </c>
      <c r="I3">
        <v>4905.56</v>
      </c>
      <c r="J3">
        <v>0</v>
      </c>
      <c r="K3" t="s">
        <v>485</v>
      </c>
      <c r="L3">
        <v>0</v>
      </c>
      <c r="M3">
        <v>4905.56</v>
      </c>
    </row>
    <row r="4" spans="1:13">
      <c r="A4" t="s">
        <v>172</v>
      </c>
      <c r="E4">
        <v>23</v>
      </c>
      <c r="F4">
        <v>121.72</v>
      </c>
      <c r="G4">
        <v>3574.33</v>
      </c>
      <c r="H4">
        <v>5394.30088495575</v>
      </c>
      <c r="I4">
        <v>5394.33</v>
      </c>
      <c r="J4">
        <v>0</v>
      </c>
      <c r="K4" t="s">
        <v>485</v>
      </c>
      <c r="L4">
        <v>0</v>
      </c>
      <c r="M4">
        <v>5394.33</v>
      </c>
    </row>
    <row r="5" spans="1:13">
      <c r="A5" t="s">
        <v>19</v>
      </c>
      <c r="E5">
        <v>32</v>
      </c>
      <c r="F5">
        <v>144.72</v>
      </c>
      <c r="G5">
        <v>5421.92</v>
      </c>
      <c r="H5">
        <v>7324.39823008849</v>
      </c>
      <c r="I5">
        <v>5634.13</v>
      </c>
      <c r="J5">
        <v>0</v>
      </c>
      <c r="K5" t="s">
        <v>511</v>
      </c>
      <c r="L5">
        <v>1853.67</v>
      </c>
      <c r="M5">
        <v>7487.8</v>
      </c>
    </row>
    <row r="6" spans="1:13">
      <c r="A6" t="s">
        <v>83</v>
      </c>
      <c r="E6">
        <v>4</v>
      </c>
      <c r="F6">
        <v>19.55</v>
      </c>
      <c r="G6">
        <v>630.64</v>
      </c>
      <c r="H6">
        <v>919.504424778761</v>
      </c>
      <c r="I6">
        <v>707.11</v>
      </c>
      <c r="J6">
        <v>0</v>
      </c>
      <c r="K6" t="s">
        <v>487</v>
      </c>
      <c r="L6">
        <v>226.42</v>
      </c>
      <c r="M6">
        <v>933.53</v>
      </c>
    </row>
    <row r="7" spans="1:13">
      <c r="A7" t="s">
        <v>14</v>
      </c>
      <c r="E7">
        <v>194</v>
      </c>
      <c r="F7">
        <v>791.95</v>
      </c>
      <c r="G7">
        <v>16473.29</v>
      </c>
      <c r="H7">
        <v>30140.4690265487</v>
      </c>
      <c r="I7">
        <v>26138.4</v>
      </c>
      <c r="J7">
        <v>0</v>
      </c>
      <c r="K7" t="s">
        <v>485</v>
      </c>
      <c r="L7">
        <v>0</v>
      </c>
      <c r="M7">
        <v>26138.4</v>
      </c>
    </row>
    <row r="8" spans="1:13">
      <c r="A8" t="s">
        <v>9</v>
      </c>
      <c r="E8">
        <v>27</v>
      </c>
      <c r="F8">
        <v>82.06</v>
      </c>
      <c r="G8">
        <v>531.9</v>
      </c>
      <c r="H8">
        <v>1114.75221238938</v>
      </c>
      <c r="I8">
        <v>1114.74</v>
      </c>
      <c r="J8">
        <v>6557.03</v>
      </c>
      <c r="K8" t="s">
        <v>485</v>
      </c>
      <c r="L8">
        <v>0</v>
      </c>
      <c r="M8">
        <v>7671.77</v>
      </c>
    </row>
    <row r="9" spans="1:13">
      <c r="A9" t="s">
        <v>76</v>
      </c>
      <c r="E9">
        <v>9</v>
      </c>
      <c r="F9">
        <v>68.02</v>
      </c>
      <c r="G9">
        <v>2293.44</v>
      </c>
      <c r="H9">
        <v>3304.40707964602</v>
      </c>
      <c r="I9">
        <v>3304.41</v>
      </c>
      <c r="J9">
        <v>0</v>
      </c>
      <c r="K9" t="s">
        <v>485</v>
      </c>
      <c r="L9">
        <v>0</v>
      </c>
      <c r="M9">
        <v>3304.41</v>
      </c>
    </row>
    <row r="10" spans="1:13">
      <c r="A10" t="s">
        <v>12</v>
      </c>
      <c r="E10">
        <v>31</v>
      </c>
      <c r="F10">
        <v>164.31</v>
      </c>
      <c r="G10">
        <v>3268.87</v>
      </c>
      <c r="H10">
        <v>6015.70796460177</v>
      </c>
      <c r="I10">
        <v>6015.71</v>
      </c>
      <c r="J10">
        <v>119.7</v>
      </c>
      <c r="K10" t="s">
        <v>485</v>
      </c>
      <c r="L10">
        <v>0</v>
      </c>
      <c r="M10">
        <v>6135.41</v>
      </c>
    </row>
    <row r="11" spans="1:13">
      <c r="A11" t="s">
        <v>143</v>
      </c>
      <c r="E11">
        <v>10</v>
      </c>
      <c r="F11">
        <v>47.1</v>
      </c>
      <c r="G11">
        <v>2213.35</v>
      </c>
      <c r="H11">
        <v>2743.64601769912</v>
      </c>
      <c r="I11">
        <v>2186.12</v>
      </c>
      <c r="J11">
        <v>0</v>
      </c>
      <c r="K11" t="s">
        <v>512</v>
      </c>
      <c r="L11">
        <v>594.34</v>
      </c>
      <c r="M11">
        <v>2780.46</v>
      </c>
    </row>
    <row r="12" spans="1:13">
      <c r="A12" t="s">
        <v>46</v>
      </c>
      <c r="E12">
        <v>7</v>
      </c>
      <c r="F12">
        <v>18.06</v>
      </c>
      <c r="G12">
        <v>655.29</v>
      </c>
      <c r="H12">
        <v>1004.81415929204</v>
      </c>
      <c r="I12">
        <v>664.1</v>
      </c>
      <c r="J12">
        <v>0</v>
      </c>
      <c r="K12" t="s">
        <v>513</v>
      </c>
      <c r="L12">
        <v>363.23</v>
      </c>
      <c r="M12">
        <v>1027.33</v>
      </c>
    </row>
    <row r="13" spans="1:13">
      <c r="A13" t="s">
        <v>30</v>
      </c>
      <c r="E13">
        <v>17</v>
      </c>
      <c r="F13">
        <v>115.19</v>
      </c>
      <c r="G13">
        <v>4039.68</v>
      </c>
      <c r="H13">
        <v>5677.07079646018</v>
      </c>
      <c r="I13">
        <v>4601.86</v>
      </c>
      <c r="J13">
        <v>0</v>
      </c>
      <c r="K13" t="s">
        <v>514</v>
      </c>
      <c r="L13">
        <v>1146.17</v>
      </c>
      <c r="M13">
        <v>5748.03</v>
      </c>
    </row>
    <row r="14" spans="1:13">
      <c r="A14" t="s">
        <v>504</v>
      </c>
      <c r="E14">
        <v>369</v>
      </c>
      <c r="F14">
        <v>1651.65</v>
      </c>
      <c r="G14">
        <v>42898.53</v>
      </c>
      <c r="H14">
        <v>68544.63</v>
      </c>
      <c r="I14">
        <v>60666.47</v>
      </c>
      <c r="J14">
        <v>6676.73</v>
      </c>
      <c r="K14" t="s">
        <v>515</v>
      </c>
      <c r="L14">
        <v>4183.83</v>
      </c>
      <c r="M14">
        <v>71527.03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2:M9"/>
  <sheetViews>
    <sheetView workbookViewId="0">
      <selection activeCell="G25" sqref="G25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11" width="9.73333333333333" customWidth="1"/>
    <col min="12" max="12" width="11.7333333333333" customWidth="1"/>
    <col min="13" max="13" width="9.73333333333333" customWidth="1"/>
  </cols>
  <sheetData>
    <row r="2" spans="1:13">
      <c r="A2" t="s">
        <v>451</v>
      </c>
      <c r="B2" t="s">
        <v>452</v>
      </c>
      <c r="C2" t="s">
        <v>453</v>
      </c>
      <c r="D2" t="s">
        <v>433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459</v>
      </c>
      <c r="K2" t="s">
        <v>460</v>
      </c>
      <c r="L2" t="s">
        <v>461</v>
      </c>
      <c r="M2" t="s">
        <v>462</v>
      </c>
    </row>
    <row r="3" spans="1:13">
      <c r="A3" t="s">
        <v>19</v>
      </c>
      <c r="E3">
        <v>34</v>
      </c>
      <c r="F3">
        <v>57.45</v>
      </c>
      <c r="G3">
        <v>4343.56</v>
      </c>
      <c r="H3">
        <v>4783.36283185841</v>
      </c>
      <c r="I3">
        <v>4779.41</v>
      </c>
      <c r="J3">
        <v>0</v>
      </c>
      <c r="K3" t="s">
        <v>516</v>
      </c>
      <c r="L3">
        <v>1722.17</v>
      </c>
      <c r="M3">
        <v>6501.58</v>
      </c>
    </row>
    <row r="4" spans="1:13">
      <c r="A4" t="s">
        <v>14</v>
      </c>
      <c r="E4">
        <v>1</v>
      </c>
      <c r="F4">
        <v>10.25</v>
      </c>
      <c r="G4">
        <v>69.75</v>
      </c>
      <c r="H4">
        <v>716.380530973451</v>
      </c>
      <c r="I4">
        <v>440.07</v>
      </c>
      <c r="J4">
        <v>0</v>
      </c>
      <c r="K4" t="s">
        <v>485</v>
      </c>
      <c r="L4">
        <v>0</v>
      </c>
      <c r="M4">
        <v>440.07</v>
      </c>
    </row>
    <row r="5" spans="1:13">
      <c r="A5" t="s">
        <v>9</v>
      </c>
      <c r="E5">
        <v>13</v>
      </c>
      <c r="F5">
        <v>47.56</v>
      </c>
      <c r="G5">
        <v>530.01</v>
      </c>
      <c r="H5">
        <v>3956.85840707965</v>
      </c>
      <c r="I5">
        <v>3500.73</v>
      </c>
      <c r="J5">
        <v>0</v>
      </c>
      <c r="K5" t="s">
        <v>485</v>
      </c>
      <c r="L5">
        <v>0</v>
      </c>
      <c r="M5">
        <v>3500.73</v>
      </c>
    </row>
    <row r="6" spans="1:13">
      <c r="A6" t="s">
        <v>12</v>
      </c>
      <c r="E6">
        <v>33</v>
      </c>
      <c r="F6">
        <v>116.39</v>
      </c>
      <c r="G6">
        <v>4422.69</v>
      </c>
      <c r="H6">
        <v>6015.6017699115</v>
      </c>
      <c r="I6">
        <v>6015.56</v>
      </c>
      <c r="J6">
        <v>0</v>
      </c>
      <c r="K6" t="s">
        <v>517</v>
      </c>
      <c r="L6">
        <v>3952.85</v>
      </c>
      <c r="M6">
        <v>9968.41</v>
      </c>
    </row>
    <row r="7" spans="1:13">
      <c r="A7" t="s">
        <v>46</v>
      </c>
      <c r="E7">
        <v>89</v>
      </c>
      <c r="F7">
        <v>650.68</v>
      </c>
      <c r="G7">
        <v>4972.3</v>
      </c>
      <c r="H7">
        <v>10096.5663716814</v>
      </c>
      <c r="I7">
        <v>10096.56</v>
      </c>
      <c r="J7">
        <v>0</v>
      </c>
      <c r="K7" t="s">
        <v>518</v>
      </c>
      <c r="L7">
        <v>4410.39</v>
      </c>
      <c r="M7">
        <v>14506.95</v>
      </c>
    </row>
    <row r="8" spans="1:13">
      <c r="A8" t="s">
        <v>30</v>
      </c>
      <c r="E8">
        <v>23</v>
      </c>
      <c r="F8">
        <v>176.68</v>
      </c>
      <c r="G8">
        <v>6066.4</v>
      </c>
      <c r="H8">
        <v>7949.02654867257</v>
      </c>
      <c r="I8">
        <v>7460.52</v>
      </c>
      <c r="J8">
        <v>0</v>
      </c>
      <c r="K8" t="s">
        <v>519</v>
      </c>
      <c r="L8">
        <v>520.81</v>
      </c>
      <c r="M8">
        <v>7981.33</v>
      </c>
    </row>
    <row r="9" spans="1:13">
      <c r="A9" t="s">
        <v>504</v>
      </c>
      <c r="E9">
        <v>193</v>
      </c>
      <c r="F9">
        <v>1059.01</v>
      </c>
      <c r="G9">
        <v>20404.71</v>
      </c>
      <c r="H9">
        <v>33517.8</v>
      </c>
      <c r="I9">
        <v>32292.85</v>
      </c>
      <c r="J9">
        <v>0</v>
      </c>
      <c r="K9" t="s">
        <v>520</v>
      </c>
      <c r="L9">
        <v>10606.22</v>
      </c>
      <c r="M9">
        <v>42899.07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30"/>
  <sheetViews>
    <sheetView workbookViewId="0">
      <selection activeCell="M31" sqref="M31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9" width="11.7333333333333" customWidth="1"/>
    <col min="10" max="11" width="9.73333333333333" customWidth="1"/>
    <col min="12" max="13" width="11.7333333333333" customWidth="1"/>
  </cols>
  <sheetData>
    <row r="2" spans="1:13">
      <c r="A2" t="s">
        <v>451</v>
      </c>
      <c r="B2" t="s">
        <v>452</v>
      </c>
      <c r="C2" t="s">
        <v>453</v>
      </c>
      <c r="D2" t="s">
        <v>433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459</v>
      </c>
      <c r="K2" t="s">
        <v>460</v>
      </c>
      <c r="L2" t="s">
        <v>461</v>
      </c>
      <c r="M2" t="s">
        <v>462</v>
      </c>
    </row>
    <row r="3" spans="1:13">
      <c r="A3" t="s">
        <v>50</v>
      </c>
      <c r="E3">
        <v>1550</v>
      </c>
      <c r="F3">
        <v>10375.06</v>
      </c>
      <c r="G3">
        <v>177369.14</v>
      </c>
      <c r="H3">
        <v>404207.287522124</v>
      </c>
      <c r="I3">
        <v>404207.29</v>
      </c>
      <c r="J3">
        <v>0</v>
      </c>
      <c r="K3" t="s">
        <v>483</v>
      </c>
      <c r="L3">
        <v>1919.93</v>
      </c>
      <c r="M3">
        <v>406127.22</v>
      </c>
    </row>
    <row r="4" spans="1:13">
      <c r="A4" t="s">
        <v>117</v>
      </c>
      <c r="E4">
        <v>18</v>
      </c>
      <c r="F4">
        <v>104.2</v>
      </c>
      <c r="G4">
        <v>4829.73</v>
      </c>
      <c r="H4">
        <v>6789.18</v>
      </c>
      <c r="I4">
        <v>6789.18</v>
      </c>
      <c r="J4">
        <v>0</v>
      </c>
      <c r="K4" t="s">
        <v>186</v>
      </c>
      <c r="L4">
        <v>1028.32</v>
      </c>
      <c r="M4">
        <v>7817.5</v>
      </c>
    </row>
    <row r="5" spans="1:13">
      <c r="A5" t="s">
        <v>167</v>
      </c>
      <c r="E5">
        <v>46</v>
      </c>
      <c r="F5">
        <v>127.4</v>
      </c>
      <c r="G5">
        <v>4609.04</v>
      </c>
      <c r="H5">
        <v>6922.11</v>
      </c>
      <c r="I5">
        <v>6922.11</v>
      </c>
      <c r="J5">
        <v>0</v>
      </c>
      <c r="K5" t="s">
        <v>484</v>
      </c>
      <c r="L5">
        <v>2632.12</v>
      </c>
      <c r="M5">
        <v>9554.23</v>
      </c>
    </row>
    <row r="6" spans="1:13">
      <c r="A6" t="s">
        <v>172</v>
      </c>
      <c r="E6">
        <v>23</v>
      </c>
      <c r="F6">
        <v>121.72</v>
      </c>
      <c r="G6">
        <v>3574.33</v>
      </c>
      <c r="H6">
        <v>5394.30088495575</v>
      </c>
      <c r="I6">
        <v>5394.33</v>
      </c>
      <c r="J6">
        <v>0</v>
      </c>
      <c r="K6" t="s">
        <v>485</v>
      </c>
      <c r="L6">
        <v>0</v>
      </c>
      <c r="M6">
        <v>5394.33</v>
      </c>
    </row>
    <row r="7" spans="1:13">
      <c r="A7" t="s">
        <v>55</v>
      </c>
      <c r="E7">
        <v>1360</v>
      </c>
      <c r="F7">
        <v>7047.44</v>
      </c>
      <c r="G7">
        <v>160257.99</v>
      </c>
      <c r="H7">
        <v>298212.99</v>
      </c>
      <c r="I7">
        <v>298212.99</v>
      </c>
      <c r="J7">
        <v>0</v>
      </c>
      <c r="K7" t="s">
        <v>486</v>
      </c>
      <c r="L7">
        <v>46807.17</v>
      </c>
      <c r="M7">
        <v>345020.16</v>
      </c>
    </row>
    <row r="8" spans="1:13">
      <c r="A8" t="s">
        <v>124</v>
      </c>
      <c r="E8">
        <v>4</v>
      </c>
      <c r="F8">
        <v>12.27</v>
      </c>
      <c r="G8">
        <v>1025.18</v>
      </c>
      <c r="H8">
        <v>1267.3</v>
      </c>
      <c r="I8">
        <v>1267.3</v>
      </c>
      <c r="J8">
        <v>0</v>
      </c>
      <c r="K8" t="s">
        <v>487</v>
      </c>
      <c r="L8">
        <v>207.56</v>
      </c>
      <c r="M8">
        <v>1474.86</v>
      </c>
    </row>
    <row r="9" spans="1:13">
      <c r="A9" t="s">
        <v>19</v>
      </c>
      <c r="E9">
        <v>2139</v>
      </c>
      <c r="F9">
        <v>5535.11</v>
      </c>
      <c r="G9">
        <v>168054.45</v>
      </c>
      <c r="H9">
        <v>274917.011061947</v>
      </c>
      <c r="I9">
        <v>272482.77</v>
      </c>
      <c r="J9">
        <v>0</v>
      </c>
      <c r="K9" t="s">
        <v>521</v>
      </c>
      <c r="L9">
        <v>132002.97</v>
      </c>
      <c r="M9">
        <v>404485.74</v>
      </c>
    </row>
    <row r="10" spans="1:13">
      <c r="A10" t="s">
        <v>83</v>
      </c>
      <c r="E10">
        <v>482</v>
      </c>
      <c r="F10">
        <v>1155.62</v>
      </c>
      <c r="G10">
        <v>35880.19</v>
      </c>
      <c r="H10">
        <v>57073.6344247788</v>
      </c>
      <c r="I10">
        <v>56861.24</v>
      </c>
      <c r="J10">
        <v>0</v>
      </c>
      <c r="K10" t="s">
        <v>489</v>
      </c>
      <c r="L10">
        <v>28688.68</v>
      </c>
      <c r="M10">
        <v>85549.92</v>
      </c>
    </row>
    <row r="11" spans="1:13">
      <c r="A11" t="s">
        <v>158</v>
      </c>
      <c r="E11">
        <v>69</v>
      </c>
      <c r="F11">
        <v>222.55</v>
      </c>
      <c r="G11">
        <v>9153.68</v>
      </c>
      <c r="H11">
        <v>13299.35</v>
      </c>
      <c r="I11">
        <v>13299.35</v>
      </c>
      <c r="J11">
        <v>0</v>
      </c>
      <c r="K11" t="s">
        <v>490</v>
      </c>
      <c r="L11">
        <v>3580.41</v>
      </c>
      <c r="M11">
        <v>16879.76</v>
      </c>
    </row>
    <row r="12" spans="1:13">
      <c r="A12" t="s">
        <v>14</v>
      </c>
      <c r="E12">
        <v>369</v>
      </c>
      <c r="F12">
        <v>2562.11</v>
      </c>
      <c r="G12">
        <v>44831.76</v>
      </c>
      <c r="H12">
        <v>96788.9295575221</v>
      </c>
      <c r="I12">
        <v>92510.55</v>
      </c>
      <c r="J12">
        <v>0</v>
      </c>
      <c r="K12" t="s">
        <v>485</v>
      </c>
      <c r="L12">
        <v>0</v>
      </c>
      <c r="M12">
        <v>92510.55</v>
      </c>
    </row>
    <row r="13" spans="1:13">
      <c r="A13" t="s">
        <v>153</v>
      </c>
      <c r="E13">
        <v>133</v>
      </c>
      <c r="F13">
        <v>618.39</v>
      </c>
      <c r="G13">
        <v>10683.57</v>
      </c>
      <c r="H13">
        <v>22860.85</v>
      </c>
      <c r="I13">
        <v>22860.85</v>
      </c>
      <c r="J13">
        <v>0</v>
      </c>
      <c r="K13" t="s">
        <v>491</v>
      </c>
      <c r="L13">
        <v>7542.61</v>
      </c>
      <c r="M13">
        <v>30403.46</v>
      </c>
    </row>
    <row r="14" spans="1:13">
      <c r="A14" t="s">
        <v>126</v>
      </c>
      <c r="E14">
        <v>722</v>
      </c>
      <c r="F14">
        <v>1770.62</v>
      </c>
      <c r="G14">
        <v>176030.75</v>
      </c>
      <c r="H14">
        <v>183113.81</v>
      </c>
      <c r="I14">
        <v>182609.65</v>
      </c>
      <c r="J14">
        <v>0</v>
      </c>
      <c r="K14" t="s">
        <v>492</v>
      </c>
      <c r="L14">
        <v>49723.58</v>
      </c>
      <c r="M14">
        <v>232333.23</v>
      </c>
    </row>
    <row r="15" spans="1:13">
      <c r="A15" t="s">
        <v>68</v>
      </c>
      <c r="E15">
        <v>576</v>
      </c>
      <c r="F15">
        <v>3806.45</v>
      </c>
      <c r="G15">
        <v>58958.61</v>
      </c>
      <c r="H15">
        <v>140575.47</v>
      </c>
      <c r="I15">
        <v>140575.47</v>
      </c>
      <c r="J15">
        <v>0</v>
      </c>
      <c r="K15" t="s">
        <v>493</v>
      </c>
      <c r="L15">
        <v>32472.46</v>
      </c>
      <c r="M15">
        <v>173047.93</v>
      </c>
    </row>
    <row r="16" spans="1:13">
      <c r="A16" t="s">
        <v>165</v>
      </c>
      <c r="E16">
        <v>39</v>
      </c>
      <c r="F16">
        <v>38.29</v>
      </c>
      <c r="G16">
        <v>2339.31</v>
      </c>
      <c r="H16">
        <v>2976.91</v>
      </c>
      <c r="I16">
        <v>2976.91</v>
      </c>
      <c r="J16">
        <v>0</v>
      </c>
      <c r="K16" t="s">
        <v>494</v>
      </c>
      <c r="L16">
        <v>2080.29</v>
      </c>
      <c r="M16">
        <v>5057.2</v>
      </c>
    </row>
    <row r="17" spans="1:13">
      <c r="A17" t="s">
        <v>9</v>
      </c>
      <c r="E17">
        <v>190</v>
      </c>
      <c r="F17">
        <v>833.73</v>
      </c>
      <c r="G17">
        <v>16883.68</v>
      </c>
      <c r="H17">
        <v>33835.650619469</v>
      </c>
      <c r="I17">
        <v>33379.51</v>
      </c>
      <c r="J17">
        <v>6557.03</v>
      </c>
      <c r="K17" t="s">
        <v>495</v>
      </c>
      <c r="L17">
        <v>5367.92</v>
      </c>
      <c r="M17">
        <v>45304.46</v>
      </c>
    </row>
    <row r="18" spans="1:13">
      <c r="A18" t="s">
        <v>147</v>
      </c>
      <c r="E18">
        <v>524</v>
      </c>
      <c r="F18">
        <v>2326.97</v>
      </c>
      <c r="G18">
        <v>61782.57</v>
      </c>
      <c r="H18">
        <v>107384.05</v>
      </c>
      <c r="I18">
        <v>107384.05</v>
      </c>
      <c r="J18">
        <v>0</v>
      </c>
      <c r="K18" t="s">
        <v>496</v>
      </c>
      <c r="L18">
        <v>11052.57</v>
      </c>
      <c r="M18">
        <v>118436.62</v>
      </c>
    </row>
    <row r="19" spans="1:13">
      <c r="A19" t="s">
        <v>76</v>
      </c>
      <c r="E19">
        <v>715</v>
      </c>
      <c r="F19">
        <v>3812.2</v>
      </c>
      <c r="G19">
        <v>85878.21</v>
      </c>
      <c r="H19">
        <v>162733.047079646</v>
      </c>
      <c r="I19">
        <v>162733.05</v>
      </c>
      <c r="J19">
        <v>0</v>
      </c>
      <c r="K19" t="s">
        <v>497</v>
      </c>
      <c r="L19">
        <v>25864.77</v>
      </c>
      <c r="M19">
        <v>188597.82</v>
      </c>
    </row>
    <row r="20" spans="1:13">
      <c r="A20" t="s">
        <v>12</v>
      </c>
      <c r="E20">
        <v>344</v>
      </c>
      <c r="F20">
        <v>2308.52</v>
      </c>
      <c r="G20">
        <v>47157.26</v>
      </c>
      <c r="H20">
        <v>94474.5597345133</v>
      </c>
      <c r="I20">
        <v>94474.52</v>
      </c>
      <c r="J20">
        <v>2654.39</v>
      </c>
      <c r="K20" t="s">
        <v>517</v>
      </c>
      <c r="L20">
        <v>3952.85</v>
      </c>
      <c r="M20">
        <v>101081.76</v>
      </c>
    </row>
    <row r="21" spans="1:13">
      <c r="A21" t="s">
        <v>161</v>
      </c>
      <c r="E21">
        <v>76</v>
      </c>
      <c r="F21">
        <v>943.28</v>
      </c>
      <c r="G21">
        <v>9978.6</v>
      </c>
      <c r="H21">
        <v>31207.73</v>
      </c>
      <c r="I21">
        <v>31207.73</v>
      </c>
      <c r="J21">
        <v>0</v>
      </c>
      <c r="K21" t="s">
        <v>498</v>
      </c>
      <c r="L21">
        <v>3943.64</v>
      </c>
      <c r="M21">
        <v>35151.37</v>
      </c>
    </row>
    <row r="22" spans="1:13">
      <c r="A22" t="s">
        <v>85</v>
      </c>
      <c r="E22">
        <v>329</v>
      </c>
      <c r="F22">
        <v>2471.16</v>
      </c>
      <c r="G22">
        <v>53148.68</v>
      </c>
      <c r="H22">
        <v>104072.59</v>
      </c>
      <c r="I22">
        <v>104072.59</v>
      </c>
      <c r="J22">
        <v>0</v>
      </c>
      <c r="K22" t="s">
        <v>485</v>
      </c>
      <c r="L22">
        <v>0</v>
      </c>
      <c r="M22">
        <v>104072.59</v>
      </c>
    </row>
    <row r="23" spans="1:13">
      <c r="A23" t="s">
        <v>98</v>
      </c>
      <c r="E23">
        <v>295</v>
      </c>
      <c r="F23">
        <v>492.68</v>
      </c>
      <c r="G23">
        <v>17160.13</v>
      </c>
      <c r="H23">
        <v>24988.93</v>
      </c>
      <c r="I23">
        <v>24988.93</v>
      </c>
      <c r="J23">
        <v>0</v>
      </c>
      <c r="K23" t="s">
        <v>499</v>
      </c>
      <c r="L23">
        <v>17570.75</v>
      </c>
      <c r="M23">
        <v>42559.68</v>
      </c>
    </row>
    <row r="24" spans="1:13">
      <c r="A24" t="s">
        <v>151</v>
      </c>
      <c r="E24">
        <v>94</v>
      </c>
      <c r="F24">
        <v>209.59</v>
      </c>
      <c r="G24">
        <v>9572.62</v>
      </c>
      <c r="H24">
        <v>13838.93</v>
      </c>
      <c r="I24">
        <v>13838.93</v>
      </c>
      <c r="J24">
        <v>0</v>
      </c>
      <c r="K24" t="s">
        <v>485</v>
      </c>
      <c r="L24">
        <v>0</v>
      </c>
      <c r="M24">
        <v>13838.93</v>
      </c>
    </row>
    <row r="25" spans="1:13">
      <c r="A25" t="s">
        <v>143</v>
      </c>
      <c r="E25">
        <v>507</v>
      </c>
      <c r="F25">
        <v>1625.3</v>
      </c>
      <c r="G25">
        <v>47259.45</v>
      </c>
      <c r="H25">
        <v>77750.4660176991</v>
      </c>
      <c r="I25">
        <v>77192.94</v>
      </c>
      <c r="J25">
        <v>0</v>
      </c>
      <c r="K25" t="s">
        <v>500</v>
      </c>
      <c r="L25">
        <v>27817.03</v>
      </c>
      <c r="M25">
        <v>105009.97</v>
      </c>
    </row>
    <row r="26" spans="1:13">
      <c r="A26" t="s">
        <v>170</v>
      </c>
      <c r="E26">
        <v>55</v>
      </c>
      <c r="F26">
        <v>285.85</v>
      </c>
      <c r="G26">
        <v>11007.59</v>
      </c>
      <c r="H26">
        <v>16632.26</v>
      </c>
      <c r="I26">
        <v>16632.26</v>
      </c>
      <c r="J26">
        <v>0</v>
      </c>
      <c r="K26" t="s">
        <v>485</v>
      </c>
      <c r="L26">
        <v>0</v>
      </c>
      <c r="M26">
        <v>16632.26</v>
      </c>
    </row>
    <row r="27" spans="1:13">
      <c r="A27" t="s">
        <v>108</v>
      </c>
      <c r="E27">
        <v>313</v>
      </c>
      <c r="F27">
        <v>1455.52</v>
      </c>
      <c r="G27">
        <v>33831.72</v>
      </c>
      <c r="H27">
        <v>62316.04</v>
      </c>
      <c r="I27">
        <v>62316.04</v>
      </c>
      <c r="J27">
        <v>0</v>
      </c>
      <c r="K27" t="s">
        <v>501</v>
      </c>
      <c r="L27">
        <v>16581.05</v>
      </c>
      <c r="M27">
        <v>78897.09</v>
      </c>
    </row>
    <row r="28" spans="1:13">
      <c r="A28" t="s">
        <v>46</v>
      </c>
      <c r="E28">
        <v>1134</v>
      </c>
      <c r="F28">
        <v>5541.7</v>
      </c>
      <c r="G28">
        <v>88673.46</v>
      </c>
      <c r="H28">
        <v>201935.490530973</v>
      </c>
      <c r="I28">
        <v>201594.77</v>
      </c>
      <c r="J28">
        <v>0</v>
      </c>
      <c r="K28" t="s">
        <v>522</v>
      </c>
      <c r="L28">
        <v>49118.01</v>
      </c>
      <c r="M28">
        <v>250712.78</v>
      </c>
    </row>
    <row r="29" spans="1:13">
      <c r="A29" t="s">
        <v>30</v>
      </c>
      <c r="E29">
        <v>1471</v>
      </c>
      <c r="F29">
        <v>7415.48</v>
      </c>
      <c r="G29">
        <v>143829.1</v>
      </c>
      <c r="H29">
        <v>304860.957345133</v>
      </c>
      <c r="I29">
        <v>303297.24</v>
      </c>
      <c r="J29">
        <v>0</v>
      </c>
      <c r="K29" t="s">
        <v>523</v>
      </c>
      <c r="L29">
        <v>71838.92</v>
      </c>
      <c r="M29">
        <v>375136.16</v>
      </c>
    </row>
    <row r="30" spans="1:13">
      <c r="A30" t="s">
        <v>504</v>
      </c>
      <c r="E30">
        <v>13577</v>
      </c>
      <c r="F30">
        <v>63219.21</v>
      </c>
      <c r="G30">
        <v>1483760.8</v>
      </c>
      <c r="H30">
        <v>2750429.83</v>
      </c>
      <c r="I30">
        <v>2740082.55</v>
      </c>
      <c r="J30">
        <v>9211.42</v>
      </c>
      <c r="K30" t="s">
        <v>524</v>
      </c>
      <c r="L30">
        <v>541793.61</v>
      </c>
      <c r="M30">
        <v>3291087.58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0"/>
  <sheetViews>
    <sheetView workbookViewId="0">
      <selection activeCell="A4" sqref="$A4:$XFD4"/>
    </sheetView>
  </sheetViews>
  <sheetFormatPr defaultColWidth="9" defaultRowHeight="13.5"/>
  <cols>
    <col min="1" max="1" width="13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6.8" customWidth="1"/>
    <col min="9" max="11" width="9.73333333333333" customWidth="1"/>
    <col min="12" max="12" width="11.7333333333333" customWidth="1"/>
    <col min="13" max="13" width="9.73333333333333" customWidth="1"/>
  </cols>
  <sheetData>
    <row r="2" spans="1:13">
      <c r="A2" t="s">
        <v>451</v>
      </c>
      <c r="B2" t="s">
        <v>452</v>
      </c>
      <c r="C2" t="s">
        <v>453</v>
      </c>
      <c r="D2" t="s">
        <v>433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459</v>
      </c>
      <c r="K2" t="s">
        <v>460</v>
      </c>
      <c r="L2" t="s">
        <v>461</v>
      </c>
      <c r="M2" t="s">
        <v>462</v>
      </c>
    </row>
    <row r="3" spans="1:13">
      <c r="A3" t="s">
        <v>172</v>
      </c>
      <c r="E3">
        <v>15</v>
      </c>
      <c r="F3">
        <v>88.39</v>
      </c>
      <c r="G3">
        <v>4898.65</v>
      </c>
      <c r="H3">
        <v>6188.79</v>
      </c>
      <c r="I3">
        <v>6188.79</v>
      </c>
      <c r="J3">
        <v>0</v>
      </c>
      <c r="K3" t="s">
        <v>485</v>
      </c>
      <c r="L3">
        <v>0</v>
      </c>
      <c r="M3">
        <v>6188.79</v>
      </c>
    </row>
    <row r="4" spans="1:13">
      <c r="A4" t="s">
        <v>55</v>
      </c>
      <c r="E4">
        <v>22</v>
      </c>
      <c r="F4">
        <v>95.77</v>
      </c>
      <c r="G4">
        <v>5567.15</v>
      </c>
      <c r="H4">
        <v>6955.67</v>
      </c>
      <c r="I4">
        <v>6955.67</v>
      </c>
      <c r="J4">
        <v>0</v>
      </c>
      <c r="K4" t="s">
        <v>525</v>
      </c>
      <c r="L4">
        <v>778.25</v>
      </c>
      <c r="M4">
        <v>7733.92</v>
      </c>
    </row>
    <row r="5" spans="1:13">
      <c r="A5" t="s">
        <v>19</v>
      </c>
      <c r="E5">
        <v>10</v>
      </c>
      <c r="F5">
        <v>41.09</v>
      </c>
      <c r="G5">
        <v>9557.58</v>
      </c>
      <c r="H5">
        <v>9283.68840707965</v>
      </c>
      <c r="I5">
        <v>9283.69</v>
      </c>
      <c r="J5">
        <v>0</v>
      </c>
      <c r="K5" t="s">
        <v>526</v>
      </c>
      <c r="L5">
        <v>353.75</v>
      </c>
      <c r="M5">
        <v>9637.44</v>
      </c>
    </row>
    <row r="6" spans="1:13">
      <c r="A6" t="s">
        <v>9</v>
      </c>
      <c r="E6">
        <v>8</v>
      </c>
      <c r="F6">
        <v>4.87</v>
      </c>
      <c r="G6">
        <v>500.56</v>
      </c>
      <c r="H6">
        <v>442.973451327434</v>
      </c>
      <c r="I6">
        <v>442.97</v>
      </c>
      <c r="J6">
        <v>201.57</v>
      </c>
      <c r="K6" t="s">
        <v>485</v>
      </c>
      <c r="L6">
        <v>0</v>
      </c>
      <c r="M6">
        <v>644.54</v>
      </c>
    </row>
    <row r="7" spans="1:13">
      <c r="A7" t="s">
        <v>76</v>
      </c>
      <c r="E7">
        <v>1</v>
      </c>
      <c r="F7">
        <v>1</v>
      </c>
      <c r="G7">
        <v>37.88</v>
      </c>
      <c r="H7">
        <v>73.99</v>
      </c>
      <c r="I7">
        <v>73.99</v>
      </c>
      <c r="J7">
        <v>0</v>
      </c>
      <c r="K7" t="s">
        <v>527</v>
      </c>
      <c r="L7">
        <v>70.75</v>
      </c>
      <c r="M7">
        <v>144.74</v>
      </c>
    </row>
    <row r="8" spans="1:13">
      <c r="A8" t="s">
        <v>12</v>
      </c>
      <c r="E8">
        <v>1</v>
      </c>
      <c r="F8">
        <v>1</v>
      </c>
      <c r="G8">
        <v>1041.34</v>
      </c>
      <c r="H8">
        <v>1053.38</v>
      </c>
      <c r="I8">
        <v>1053.38</v>
      </c>
      <c r="J8">
        <v>0</v>
      </c>
      <c r="K8" t="s">
        <v>485</v>
      </c>
      <c r="L8">
        <v>0</v>
      </c>
      <c r="M8">
        <v>1053.38</v>
      </c>
    </row>
    <row r="9" spans="1:13">
      <c r="A9" t="s">
        <v>46</v>
      </c>
      <c r="E9">
        <v>1</v>
      </c>
      <c r="F9">
        <v>1.5</v>
      </c>
      <c r="G9">
        <v>705.89</v>
      </c>
      <c r="H9">
        <v>663.619469026549</v>
      </c>
      <c r="I9">
        <v>663.62</v>
      </c>
      <c r="J9">
        <v>0</v>
      </c>
      <c r="K9" t="s">
        <v>485</v>
      </c>
      <c r="L9">
        <v>0</v>
      </c>
      <c r="M9">
        <v>663.62</v>
      </c>
    </row>
    <row r="10" spans="1:13">
      <c r="A10" t="s">
        <v>504</v>
      </c>
      <c r="E10">
        <v>58</v>
      </c>
      <c r="F10">
        <v>233.62</v>
      </c>
      <c r="G10">
        <v>22309.05</v>
      </c>
      <c r="H10">
        <v>24662.11</v>
      </c>
      <c r="I10">
        <v>24662.11</v>
      </c>
      <c r="J10">
        <v>201.57</v>
      </c>
      <c r="K10" t="s">
        <v>514</v>
      </c>
      <c r="L10">
        <v>1202.75</v>
      </c>
      <c r="M10">
        <v>26066.43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6"/>
  <sheetViews>
    <sheetView workbookViewId="0">
      <selection activeCell="I14" sqref="I14"/>
    </sheetView>
  </sheetViews>
  <sheetFormatPr defaultColWidth="9" defaultRowHeight="13.5" outlineLevelRow="5"/>
  <cols>
    <col min="1" max="1" width="13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6.8" customWidth="1"/>
    <col min="9" max="11" width="9.73333333333333" customWidth="1"/>
    <col min="12" max="12" width="11.7333333333333" customWidth="1"/>
    <col min="13" max="13" width="9.73333333333333" customWidth="1"/>
  </cols>
  <sheetData>
    <row r="2" spans="1:13">
      <c r="A2" t="s">
        <v>451</v>
      </c>
      <c r="B2" t="s">
        <v>452</v>
      </c>
      <c r="C2" t="s">
        <v>453</v>
      </c>
      <c r="D2" t="s">
        <v>433</v>
      </c>
      <c r="E2" t="s">
        <v>454</v>
      </c>
      <c r="F2" t="s">
        <v>455</v>
      </c>
      <c r="G2" t="s">
        <v>456</v>
      </c>
      <c r="H2" t="s">
        <v>457</v>
      </c>
      <c r="I2" t="s">
        <v>458</v>
      </c>
      <c r="J2" t="s">
        <v>459</v>
      </c>
      <c r="K2" t="s">
        <v>460</v>
      </c>
      <c r="L2" t="s">
        <v>461</v>
      </c>
      <c r="M2" t="s">
        <v>462</v>
      </c>
    </row>
    <row r="3" spans="1:13">
      <c r="A3" t="s">
        <v>19</v>
      </c>
      <c r="E3">
        <v>2</v>
      </c>
      <c r="F3">
        <v>2.9</v>
      </c>
      <c r="G3">
        <v>7956.99</v>
      </c>
      <c r="H3">
        <v>7091.85840707965</v>
      </c>
      <c r="I3">
        <v>7091.86</v>
      </c>
      <c r="J3">
        <v>0</v>
      </c>
      <c r="K3" t="s">
        <v>485</v>
      </c>
      <c r="L3">
        <v>0</v>
      </c>
      <c r="M3">
        <v>7091.86</v>
      </c>
    </row>
    <row r="4" spans="1:13">
      <c r="A4" t="s">
        <v>9</v>
      </c>
      <c r="E4">
        <v>8</v>
      </c>
      <c r="F4">
        <v>4.87</v>
      </c>
      <c r="G4">
        <v>500.56</v>
      </c>
      <c r="H4">
        <v>442.973451327434</v>
      </c>
      <c r="I4">
        <v>442.97</v>
      </c>
      <c r="J4">
        <v>201.57</v>
      </c>
      <c r="K4" t="s">
        <v>485</v>
      </c>
      <c r="L4">
        <v>0</v>
      </c>
      <c r="M4">
        <v>644.54</v>
      </c>
    </row>
    <row r="5" spans="1:13">
      <c r="A5" t="s">
        <v>46</v>
      </c>
      <c r="E5">
        <v>1</v>
      </c>
      <c r="F5">
        <v>1.5</v>
      </c>
      <c r="G5">
        <v>705.89</v>
      </c>
      <c r="H5">
        <v>663.619469026549</v>
      </c>
      <c r="I5">
        <v>663.62</v>
      </c>
      <c r="J5">
        <v>0</v>
      </c>
      <c r="K5" t="s">
        <v>485</v>
      </c>
      <c r="L5">
        <v>0</v>
      </c>
      <c r="M5">
        <v>663.62</v>
      </c>
    </row>
    <row r="6" spans="1:13">
      <c r="A6" t="s">
        <v>504</v>
      </c>
      <c r="E6">
        <v>11</v>
      </c>
      <c r="F6">
        <v>9.27</v>
      </c>
      <c r="G6">
        <v>9163.44</v>
      </c>
      <c r="H6">
        <v>8198.45</v>
      </c>
      <c r="I6">
        <v>8198.45</v>
      </c>
      <c r="J6">
        <v>201.57</v>
      </c>
      <c r="K6" t="s">
        <v>485</v>
      </c>
      <c r="L6">
        <v>0</v>
      </c>
      <c r="M6">
        <v>8400.02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C143"/>
  <sheetViews>
    <sheetView topLeftCell="A78" workbookViewId="0">
      <selection activeCell="D107" sqref="D107"/>
    </sheetView>
  </sheetViews>
  <sheetFormatPr defaultColWidth="9" defaultRowHeight="13.5" outlineLevelCol="2"/>
  <cols>
    <col min="1" max="1" width="16.875" customWidth="1"/>
    <col min="2" max="2" width="18.25" customWidth="1"/>
  </cols>
  <sheetData>
    <row r="1" spans="1:3">
      <c r="A1" t="s">
        <v>0</v>
      </c>
      <c r="B1" t="s">
        <v>528</v>
      </c>
      <c r="C1" t="s">
        <v>453</v>
      </c>
    </row>
    <row r="2" spans="1:3">
      <c r="A2" s="7" t="s">
        <v>9</v>
      </c>
      <c r="B2" s="8" t="s">
        <v>10</v>
      </c>
      <c r="C2" t="s">
        <v>464</v>
      </c>
    </row>
    <row r="3" spans="1:3">
      <c r="A3" s="7" t="s">
        <v>9</v>
      </c>
      <c r="B3" s="8" t="s">
        <v>11</v>
      </c>
      <c r="C3" t="s">
        <v>464</v>
      </c>
    </row>
    <row r="4" spans="1:3">
      <c r="A4" s="3" t="s">
        <v>12</v>
      </c>
      <c r="B4" s="6" t="s">
        <v>13</v>
      </c>
      <c r="C4" t="s">
        <v>464</v>
      </c>
    </row>
    <row r="5" spans="1:3">
      <c r="A5" s="3" t="s">
        <v>14</v>
      </c>
      <c r="B5" s="6" t="s">
        <v>15</v>
      </c>
      <c r="C5" t="s">
        <v>464</v>
      </c>
    </row>
    <row r="6" spans="1:3">
      <c r="A6" s="3" t="s">
        <v>12</v>
      </c>
      <c r="B6" s="6" t="s">
        <v>16</v>
      </c>
      <c r="C6" t="s">
        <v>464</v>
      </c>
    </row>
    <row r="7" spans="1:3">
      <c r="A7" s="3" t="s">
        <v>12</v>
      </c>
      <c r="B7" s="6" t="s">
        <v>17</v>
      </c>
      <c r="C7" t="s">
        <v>464</v>
      </c>
    </row>
    <row r="8" spans="1:3">
      <c r="A8" s="3" t="s">
        <v>12</v>
      </c>
      <c r="B8" s="6" t="s">
        <v>18</v>
      </c>
      <c r="C8" t="s">
        <v>464</v>
      </c>
    </row>
    <row r="9" spans="1:3">
      <c r="A9" s="9" t="s">
        <v>19</v>
      </c>
      <c r="B9" s="8" t="s">
        <v>20</v>
      </c>
      <c r="C9" t="s">
        <v>464</v>
      </c>
    </row>
    <row r="10" spans="1:3">
      <c r="A10" s="9" t="s">
        <v>19</v>
      </c>
      <c r="B10" s="8" t="s">
        <v>21</v>
      </c>
      <c r="C10" t="s">
        <v>464</v>
      </c>
    </row>
    <row r="11" spans="1:3">
      <c r="A11" s="9" t="s">
        <v>19</v>
      </c>
      <c r="B11" s="8" t="s">
        <v>22</v>
      </c>
      <c r="C11" t="s">
        <v>464</v>
      </c>
    </row>
    <row r="12" spans="1:3">
      <c r="A12" s="9" t="s">
        <v>19</v>
      </c>
      <c r="B12" s="8" t="s">
        <v>23</v>
      </c>
      <c r="C12" t="s">
        <v>464</v>
      </c>
    </row>
    <row r="13" spans="1:3">
      <c r="A13" s="9" t="s">
        <v>19</v>
      </c>
      <c r="B13" s="8" t="s">
        <v>24</v>
      </c>
      <c r="C13" t="s">
        <v>464</v>
      </c>
    </row>
    <row r="14" spans="1:3">
      <c r="A14" s="9" t="s">
        <v>19</v>
      </c>
      <c r="B14" s="8" t="s">
        <v>25</v>
      </c>
      <c r="C14" t="s">
        <v>464</v>
      </c>
    </row>
    <row r="15" spans="1:3">
      <c r="A15" s="9" t="s">
        <v>19</v>
      </c>
      <c r="B15" s="8" t="s">
        <v>26</v>
      </c>
      <c r="C15" t="s">
        <v>464</v>
      </c>
    </row>
    <row r="16" spans="1:3">
      <c r="A16" s="9" t="s">
        <v>19</v>
      </c>
      <c r="B16" s="8" t="s">
        <v>27</v>
      </c>
      <c r="C16" t="s">
        <v>464</v>
      </c>
    </row>
    <row r="17" spans="1:3">
      <c r="A17" s="9" t="s">
        <v>19</v>
      </c>
      <c r="B17" s="8" t="s">
        <v>28</v>
      </c>
      <c r="C17" t="s">
        <v>464</v>
      </c>
    </row>
    <row r="18" spans="1:3">
      <c r="A18" s="9" t="s">
        <v>19</v>
      </c>
      <c r="B18" s="8" t="s">
        <v>29</v>
      </c>
      <c r="C18" t="s">
        <v>464</v>
      </c>
    </row>
    <row r="19" spans="1:3">
      <c r="A19" s="3" t="s">
        <v>30</v>
      </c>
      <c r="B19" s="6" t="s">
        <v>31</v>
      </c>
      <c r="C19" t="s">
        <v>464</v>
      </c>
    </row>
    <row r="20" spans="1:3">
      <c r="A20" s="3" t="s">
        <v>30</v>
      </c>
      <c r="B20" s="6" t="s">
        <v>32</v>
      </c>
      <c r="C20" t="s">
        <v>464</v>
      </c>
    </row>
    <row r="21" spans="1:3">
      <c r="A21" s="3" t="s">
        <v>30</v>
      </c>
      <c r="B21" s="6" t="s">
        <v>33</v>
      </c>
      <c r="C21" t="s">
        <v>464</v>
      </c>
    </row>
    <row r="22" spans="1:3">
      <c r="A22" s="3" t="s">
        <v>30</v>
      </c>
      <c r="B22" s="6" t="s">
        <v>34</v>
      </c>
      <c r="C22" t="s">
        <v>464</v>
      </c>
    </row>
    <row r="23" spans="1:3">
      <c r="A23" s="3" t="s">
        <v>30</v>
      </c>
      <c r="B23" s="6" t="s">
        <v>35</v>
      </c>
      <c r="C23" t="s">
        <v>464</v>
      </c>
    </row>
    <row r="24" spans="1:3">
      <c r="A24" s="3" t="s">
        <v>30</v>
      </c>
      <c r="B24" s="6" t="s">
        <v>36</v>
      </c>
      <c r="C24" t="s">
        <v>464</v>
      </c>
    </row>
    <row r="25" spans="1:3">
      <c r="A25" s="3" t="s">
        <v>30</v>
      </c>
      <c r="B25" s="6" t="s">
        <v>37</v>
      </c>
      <c r="C25" t="s">
        <v>464</v>
      </c>
    </row>
    <row r="26" spans="1:3">
      <c r="A26" s="3" t="s">
        <v>30</v>
      </c>
      <c r="B26" s="6" t="s">
        <v>38</v>
      </c>
      <c r="C26" t="s">
        <v>464</v>
      </c>
    </row>
    <row r="27" spans="1:3">
      <c r="A27" s="3" t="s">
        <v>30</v>
      </c>
      <c r="B27" s="6" t="s">
        <v>39</v>
      </c>
      <c r="C27" t="s">
        <v>464</v>
      </c>
    </row>
    <row r="28" spans="1:3">
      <c r="A28" s="3" t="s">
        <v>30</v>
      </c>
      <c r="B28" s="6" t="s">
        <v>40</v>
      </c>
      <c r="C28" t="s">
        <v>464</v>
      </c>
    </row>
    <row r="29" spans="1:3">
      <c r="A29" s="3" t="s">
        <v>30</v>
      </c>
      <c r="B29" s="6" t="s">
        <v>41</v>
      </c>
      <c r="C29" t="s">
        <v>464</v>
      </c>
    </row>
    <row r="30" spans="1:3">
      <c r="A30" s="3" t="s">
        <v>30</v>
      </c>
      <c r="B30" s="6" t="s">
        <v>42</v>
      </c>
      <c r="C30" t="s">
        <v>464</v>
      </c>
    </row>
    <row r="31" spans="1:3">
      <c r="A31" s="3" t="s">
        <v>30</v>
      </c>
      <c r="B31" s="6" t="s">
        <v>43</v>
      </c>
      <c r="C31" t="s">
        <v>464</v>
      </c>
    </row>
    <row r="32" spans="1:3">
      <c r="A32" s="3" t="s">
        <v>30</v>
      </c>
      <c r="B32" s="6" t="s">
        <v>44</v>
      </c>
      <c r="C32" t="s">
        <v>464</v>
      </c>
    </row>
    <row r="33" spans="1:3">
      <c r="A33" s="3" t="s">
        <v>30</v>
      </c>
      <c r="B33" s="6" t="s">
        <v>45</v>
      </c>
      <c r="C33" t="s">
        <v>464</v>
      </c>
    </row>
    <row r="34" spans="1:3">
      <c r="A34" s="7" t="s">
        <v>46</v>
      </c>
      <c r="B34" s="8" t="s">
        <v>47</v>
      </c>
      <c r="C34" t="s">
        <v>464</v>
      </c>
    </row>
    <row r="35" spans="1:3">
      <c r="A35" s="7" t="s">
        <v>46</v>
      </c>
      <c r="B35" s="8" t="s">
        <v>48</v>
      </c>
      <c r="C35" t="s">
        <v>464</v>
      </c>
    </row>
    <row r="36" spans="1:3">
      <c r="A36" s="7" t="s">
        <v>46</v>
      </c>
      <c r="B36" s="8" t="s">
        <v>49</v>
      </c>
      <c r="C36" t="s">
        <v>464</v>
      </c>
    </row>
    <row r="37" spans="1:3">
      <c r="A37" s="10" t="s">
        <v>50</v>
      </c>
      <c r="B37" s="6" t="s">
        <v>51</v>
      </c>
      <c r="C37" t="s">
        <v>464</v>
      </c>
    </row>
    <row r="38" spans="1:3">
      <c r="A38" s="10" t="s">
        <v>50</v>
      </c>
      <c r="B38" s="6" t="s">
        <v>52</v>
      </c>
      <c r="C38" t="s">
        <v>464</v>
      </c>
    </row>
    <row r="39" spans="1:3">
      <c r="A39" s="10" t="s">
        <v>50</v>
      </c>
      <c r="B39" s="6" t="s">
        <v>53</v>
      </c>
      <c r="C39" t="s">
        <v>464</v>
      </c>
    </row>
    <row r="40" spans="1:3">
      <c r="A40" s="11" t="s">
        <v>50</v>
      </c>
      <c r="B40" s="12" t="s">
        <v>54</v>
      </c>
      <c r="C40" t="s">
        <v>464</v>
      </c>
    </row>
    <row r="41" spans="1:3">
      <c r="A41" s="11" t="s">
        <v>55</v>
      </c>
      <c r="B41" s="12" t="s">
        <v>56</v>
      </c>
      <c r="C41" t="s">
        <v>464</v>
      </c>
    </row>
    <row r="42" spans="1:3">
      <c r="A42" s="11" t="s">
        <v>55</v>
      </c>
      <c r="B42" s="12" t="s">
        <v>57</v>
      </c>
      <c r="C42" t="s">
        <v>464</v>
      </c>
    </row>
    <row r="43" spans="1:3">
      <c r="A43" s="11" t="s">
        <v>55</v>
      </c>
      <c r="B43" s="12" t="s">
        <v>58</v>
      </c>
      <c r="C43" t="s">
        <v>464</v>
      </c>
    </row>
    <row r="44" spans="1:3">
      <c r="A44" s="11" t="s">
        <v>55</v>
      </c>
      <c r="B44" s="12" t="s">
        <v>59</v>
      </c>
      <c r="C44" t="s">
        <v>464</v>
      </c>
    </row>
    <row r="45" spans="1:3">
      <c r="A45" s="11" t="s">
        <v>55</v>
      </c>
      <c r="B45" s="12" t="s">
        <v>60</v>
      </c>
      <c r="C45" t="s">
        <v>464</v>
      </c>
    </row>
    <row r="46" spans="1:3">
      <c r="A46" s="11" t="s">
        <v>55</v>
      </c>
      <c r="B46" s="12" t="s">
        <v>61</v>
      </c>
      <c r="C46" t="s">
        <v>464</v>
      </c>
    </row>
    <row r="47" spans="1:3">
      <c r="A47" s="11" t="s">
        <v>55</v>
      </c>
      <c r="B47" s="12" t="s">
        <v>62</v>
      </c>
      <c r="C47" t="s">
        <v>464</v>
      </c>
    </row>
    <row r="48" spans="1:3">
      <c r="A48" s="11" t="s">
        <v>55</v>
      </c>
      <c r="B48" s="12" t="s">
        <v>63</v>
      </c>
      <c r="C48" t="s">
        <v>464</v>
      </c>
    </row>
    <row r="49" spans="1:3">
      <c r="A49" s="11" t="s">
        <v>55</v>
      </c>
      <c r="B49" s="12" t="s">
        <v>64</v>
      </c>
      <c r="C49" t="s">
        <v>464</v>
      </c>
    </row>
    <row r="50" spans="1:3">
      <c r="A50" s="11" t="s">
        <v>55</v>
      </c>
      <c r="B50" s="12" t="s">
        <v>65</v>
      </c>
      <c r="C50" t="s">
        <v>464</v>
      </c>
    </row>
    <row r="51" spans="1:3">
      <c r="A51" s="11" t="s">
        <v>55</v>
      </c>
      <c r="B51" s="12" t="s">
        <v>66</v>
      </c>
      <c r="C51" t="s">
        <v>464</v>
      </c>
    </row>
    <row r="52" spans="1:3">
      <c r="A52" s="11" t="s">
        <v>55</v>
      </c>
      <c r="B52" s="12" t="s">
        <v>67</v>
      </c>
      <c r="C52" t="s">
        <v>464</v>
      </c>
    </row>
    <row r="53" spans="1:3">
      <c r="A53" s="11" t="s">
        <v>68</v>
      </c>
      <c r="B53" s="12" t="s">
        <v>69</v>
      </c>
      <c r="C53" t="s">
        <v>464</v>
      </c>
    </row>
    <row r="54" spans="1:3">
      <c r="A54" s="11" t="s">
        <v>55</v>
      </c>
      <c r="B54" s="12" t="s">
        <v>70</v>
      </c>
      <c r="C54" t="s">
        <v>464</v>
      </c>
    </row>
    <row r="55" spans="1:3">
      <c r="A55" s="11" t="s">
        <v>55</v>
      </c>
      <c r="B55" s="12" t="s">
        <v>71</v>
      </c>
      <c r="C55" t="s">
        <v>464</v>
      </c>
    </row>
    <row r="56" spans="1:3">
      <c r="A56" s="11" t="s">
        <v>55</v>
      </c>
      <c r="B56" s="12" t="s">
        <v>72</v>
      </c>
      <c r="C56" t="s">
        <v>464</v>
      </c>
    </row>
    <row r="57" spans="1:3">
      <c r="A57" s="11" t="s">
        <v>55</v>
      </c>
      <c r="B57" s="12" t="s">
        <v>73</v>
      </c>
      <c r="C57" t="s">
        <v>464</v>
      </c>
    </row>
    <row r="58" spans="1:3">
      <c r="A58" s="11" t="s">
        <v>55</v>
      </c>
      <c r="B58" s="12" t="s">
        <v>74</v>
      </c>
      <c r="C58" t="s">
        <v>464</v>
      </c>
    </row>
    <row r="59" spans="1:3">
      <c r="A59" s="7" t="s">
        <v>55</v>
      </c>
      <c r="B59" s="6" t="s">
        <v>75</v>
      </c>
      <c r="C59" t="s">
        <v>464</v>
      </c>
    </row>
    <row r="60" spans="1:3">
      <c r="A60" s="7" t="s">
        <v>76</v>
      </c>
      <c r="B60" s="6" t="s">
        <v>77</v>
      </c>
      <c r="C60" t="s">
        <v>464</v>
      </c>
    </row>
    <row r="61" spans="1:3">
      <c r="A61" s="7" t="s">
        <v>76</v>
      </c>
      <c r="B61" t="s">
        <v>78</v>
      </c>
      <c r="C61" t="s">
        <v>464</v>
      </c>
    </row>
    <row r="62" spans="1:3">
      <c r="A62" s="7" t="s">
        <v>76</v>
      </c>
      <c r="B62" s="6" t="s">
        <v>79</v>
      </c>
      <c r="C62" t="s">
        <v>464</v>
      </c>
    </row>
    <row r="63" spans="1:3">
      <c r="A63" s="7" t="s">
        <v>76</v>
      </c>
      <c r="B63" s="6" t="s">
        <v>80</v>
      </c>
      <c r="C63" t="s">
        <v>464</v>
      </c>
    </row>
    <row r="64" spans="1:3">
      <c r="A64" s="7" t="s">
        <v>76</v>
      </c>
      <c r="B64" s="6" t="s">
        <v>81</v>
      </c>
      <c r="C64" t="s">
        <v>464</v>
      </c>
    </row>
    <row r="65" spans="1:3">
      <c r="A65" s="13" t="s">
        <v>76</v>
      </c>
      <c r="B65" s="12" t="s">
        <v>82</v>
      </c>
      <c r="C65" t="s">
        <v>464</v>
      </c>
    </row>
    <row r="66" spans="1:3">
      <c r="A66" s="13" t="s">
        <v>83</v>
      </c>
      <c r="B66" s="12" t="s">
        <v>84</v>
      </c>
      <c r="C66" t="s">
        <v>464</v>
      </c>
    </row>
    <row r="67" spans="1:3">
      <c r="A67" s="13" t="s">
        <v>85</v>
      </c>
      <c r="B67" s="12" t="s">
        <v>86</v>
      </c>
      <c r="C67" t="s">
        <v>464</v>
      </c>
    </row>
    <row r="68" spans="1:3">
      <c r="A68" s="13" t="s">
        <v>83</v>
      </c>
      <c r="B68" s="12" t="s">
        <v>87</v>
      </c>
      <c r="C68" t="s">
        <v>464</v>
      </c>
    </row>
    <row r="69" spans="1:3">
      <c r="A69" s="13" t="s">
        <v>83</v>
      </c>
      <c r="B69" s="12" t="s">
        <v>88</v>
      </c>
      <c r="C69" t="s">
        <v>464</v>
      </c>
    </row>
    <row r="70" spans="1:3">
      <c r="A70" s="13" t="s">
        <v>83</v>
      </c>
      <c r="B70" s="12" t="s">
        <v>89</v>
      </c>
      <c r="C70" t="s">
        <v>464</v>
      </c>
    </row>
    <row r="71" spans="1:3">
      <c r="A71" s="13" t="s">
        <v>83</v>
      </c>
      <c r="B71" s="12" t="s">
        <v>90</v>
      </c>
      <c r="C71" t="s">
        <v>464</v>
      </c>
    </row>
    <row r="72" spans="1:3">
      <c r="A72" s="13" t="s">
        <v>83</v>
      </c>
      <c r="B72" s="12" t="s">
        <v>91</v>
      </c>
      <c r="C72" t="s">
        <v>464</v>
      </c>
    </row>
    <row r="73" spans="1:3">
      <c r="A73" s="13" t="s">
        <v>83</v>
      </c>
      <c r="B73" s="12" t="s">
        <v>529</v>
      </c>
      <c r="C73" t="s">
        <v>464</v>
      </c>
    </row>
    <row r="74" spans="1:3">
      <c r="A74" s="13" t="s">
        <v>83</v>
      </c>
      <c r="B74" s="12" t="s">
        <v>93</v>
      </c>
      <c r="C74" t="s">
        <v>464</v>
      </c>
    </row>
    <row r="75" spans="1:3">
      <c r="A75" s="13" t="s">
        <v>83</v>
      </c>
      <c r="B75" s="12" t="s">
        <v>94</v>
      </c>
      <c r="C75" t="s">
        <v>464</v>
      </c>
    </row>
    <row r="76" spans="1:3">
      <c r="A76" s="13" t="s">
        <v>83</v>
      </c>
      <c r="B76" s="12" t="s">
        <v>95</v>
      </c>
      <c r="C76" t="s">
        <v>464</v>
      </c>
    </row>
    <row r="77" spans="1:3">
      <c r="A77" s="13" t="s">
        <v>83</v>
      </c>
      <c r="B77" s="12" t="s">
        <v>96</v>
      </c>
      <c r="C77" t="s">
        <v>464</v>
      </c>
    </row>
    <row r="78" spans="1:3">
      <c r="A78" s="14" t="s">
        <v>83</v>
      </c>
      <c r="B78" s="6" t="s">
        <v>530</v>
      </c>
      <c r="C78" t="s">
        <v>464</v>
      </c>
    </row>
    <row r="79" spans="1:3">
      <c r="A79" s="14" t="s">
        <v>98</v>
      </c>
      <c r="B79" s="6" t="s">
        <v>99</v>
      </c>
      <c r="C79" t="s">
        <v>464</v>
      </c>
    </row>
    <row r="80" spans="1:3">
      <c r="A80" s="14" t="s">
        <v>98</v>
      </c>
      <c r="B80" s="6" t="s">
        <v>100</v>
      </c>
      <c r="C80" t="s">
        <v>464</v>
      </c>
    </row>
    <row r="81" spans="1:3">
      <c r="A81" s="14" t="s">
        <v>98</v>
      </c>
      <c r="B81" s="6" t="s">
        <v>101</v>
      </c>
      <c r="C81" t="s">
        <v>464</v>
      </c>
    </row>
    <row r="82" spans="1:3">
      <c r="A82" s="14" t="s">
        <v>98</v>
      </c>
      <c r="B82" s="6" t="s">
        <v>102</v>
      </c>
      <c r="C82" t="s">
        <v>464</v>
      </c>
    </row>
    <row r="83" spans="1:3">
      <c r="A83" s="14" t="s">
        <v>98</v>
      </c>
      <c r="B83" s="6" t="s">
        <v>103</v>
      </c>
      <c r="C83" t="s">
        <v>464</v>
      </c>
    </row>
    <row r="84" spans="1:3">
      <c r="A84" s="14" t="s">
        <v>98</v>
      </c>
      <c r="B84" s="6" t="s">
        <v>104</v>
      </c>
      <c r="C84" t="s">
        <v>464</v>
      </c>
    </row>
    <row r="85" spans="1:3">
      <c r="A85" s="14" t="s">
        <v>98</v>
      </c>
      <c r="B85" s="6" t="s">
        <v>105</v>
      </c>
      <c r="C85" t="s">
        <v>464</v>
      </c>
    </row>
    <row r="86" spans="1:3">
      <c r="A86" s="14" t="s">
        <v>98</v>
      </c>
      <c r="B86" s="6" t="s">
        <v>106</v>
      </c>
      <c r="C86" t="s">
        <v>464</v>
      </c>
    </row>
    <row r="87" spans="1:3">
      <c r="A87" s="11" t="s">
        <v>98</v>
      </c>
      <c r="B87" s="12" t="s">
        <v>107</v>
      </c>
      <c r="C87" t="s">
        <v>464</v>
      </c>
    </row>
    <row r="88" spans="1:3">
      <c r="A88" s="11" t="s">
        <v>108</v>
      </c>
      <c r="B88" s="12" t="s">
        <v>109</v>
      </c>
      <c r="C88" t="s">
        <v>464</v>
      </c>
    </row>
    <row r="89" spans="1:3">
      <c r="A89" s="11" t="s">
        <v>108</v>
      </c>
      <c r="B89" s="12" t="s">
        <v>110</v>
      </c>
      <c r="C89" t="s">
        <v>464</v>
      </c>
    </row>
    <row r="90" spans="1:3">
      <c r="A90" s="11" t="s">
        <v>108</v>
      </c>
      <c r="B90" s="12" t="s">
        <v>111</v>
      </c>
      <c r="C90" t="s">
        <v>464</v>
      </c>
    </row>
    <row r="91" spans="1:3">
      <c r="A91" s="11" t="s">
        <v>108</v>
      </c>
      <c r="B91" s="12" t="s">
        <v>112</v>
      </c>
      <c r="C91" t="s">
        <v>464</v>
      </c>
    </row>
    <row r="92" spans="1:3">
      <c r="A92" s="11" t="s">
        <v>108</v>
      </c>
      <c r="B92" s="12" t="s">
        <v>113</v>
      </c>
      <c r="C92" t="s">
        <v>464</v>
      </c>
    </row>
    <row r="93" spans="1:3">
      <c r="A93" s="11" t="s">
        <v>108</v>
      </c>
      <c r="B93" s="12" t="s">
        <v>114</v>
      </c>
      <c r="C93" t="s">
        <v>464</v>
      </c>
    </row>
    <row r="94" spans="1:3">
      <c r="A94" s="11" t="s">
        <v>108</v>
      </c>
      <c r="B94" s="12" t="s">
        <v>115</v>
      </c>
      <c r="C94" t="s">
        <v>464</v>
      </c>
    </row>
    <row r="95" spans="1:3">
      <c r="A95" s="11" t="s">
        <v>108</v>
      </c>
      <c r="B95" s="12" t="s">
        <v>116</v>
      </c>
      <c r="C95" t="s">
        <v>464</v>
      </c>
    </row>
    <row r="96" spans="1:3">
      <c r="A96" s="14" t="s">
        <v>117</v>
      </c>
      <c r="B96" s="6" t="s">
        <v>118</v>
      </c>
      <c r="C96" t="s">
        <v>464</v>
      </c>
    </row>
    <row r="97" spans="1:3">
      <c r="A97" s="14" t="s">
        <v>55</v>
      </c>
      <c r="B97" s="6" t="s">
        <v>119</v>
      </c>
      <c r="C97" t="s">
        <v>464</v>
      </c>
    </row>
    <row r="98" spans="1:3">
      <c r="A98" s="14" t="s">
        <v>117</v>
      </c>
      <c r="B98" s="6" t="s">
        <v>120</v>
      </c>
      <c r="C98" t="s">
        <v>464</v>
      </c>
    </row>
    <row r="99" spans="1:3">
      <c r="A99" s="14" t="s">
        <v>117</v>
      </c>
      <c r="B99" s="6" t="s">
        <v>121</v>
      </c>
      <c r="C99" t="s">
        <v>464</v>
      </c>
    </row>
    <row r="100" spans="1:3">
      <c r="A100" s="14" t="s">
        <v>117</v>
      </c>
      <c r="B100" s="6" t="s">
        <v>122</v>
      </c>
      <c r="C100" t="s">
        <v>464</v>
      </c>
    </row>
    <row r="101" spans="1:3">
      <c r="A101" s="14" t="s">
        <v>55</v>
      </c>
      <c r="B101" s="6" t="s">
        <v>123</v>
      </c>
      <c r="C101" t="s">
        <v>464</v>
      </c>
    </row>
    <row r="102" spans="1:3">
      <c r="A102" s="13" t="s">
        <v>124</v>
      </c>
      <c r="B102" s="12" t="s">
        <v>125</v>
      </c>
      <c r="C102" t="s">
        <v>464</v>
      </c>
    </row>
    <row r="103" spans="1:3">
      <c r="A103" s="13" t="s">
        <v>126</v>
      </c>
      <c r="B103" s="12" t="s">
        <v>127</v>
      </c>
      <c r="C103" t="s">
        <v>464</v>
      </c>
    </row>
    <row r="104" spans="1:3">
      <c r="A104" s="13" t="s">
        <v>126</v>
      </c>
      <c r="B104" s="12" t="s">
        <v>128</v>
      </c>
      <c r="C104" t="s">
        <v>464</v>
      </c>
    </row>
    <row r="105" spans="1:3">
      <c r="A105" s="13" t="s">
        <v>126</v>
      </c>
      <c r="B105" s="12" t="s">
        <v>129</v>
      </c>
      <c r="C105" t="s">
        <v>464</v>
      </c>
    </row>
    <row r="106" spans="1:3">
      <c r="A106" s="13" t="s">
        <v>126</v>
      </c>
      <c r="B106" s="12" t="s">
        <v>130</v>
      </c>
      <c r="C106" t="s">
        <v>464</v>
      </c>
    </row>
    <row r="107" spans="1:3">
      <c r="A107" s="13" t="s">
        <v>126</v>
      </c>
      <c r="B107" s="12" t="s">
        <v>131</v>
      </c>
      <c r="C107" t="s">
        <v>464</v>
      </c>
    </row>
    <row r="108" spans="1:3">
      <c r="A108" s="15" t="s">
        <v>126</v>
      </c>
      <c r="B108" s="12" t="s">
        <v>133</v>
      </c>
      <c r="C108" t="s">
        <v>464</v>
      </c>
    </row>
    <row r="109" spans="1:3">
      <c r="A109" s="16" t="s">
        <v>55</v>
      </c>
      <c r="B109" s="6" t="s">
        <v>134</v>
      </c>
      <c r="C109" t="s">
        <v>464</v>
      </c>
    </row>
    <row r="110" spans="1:3">
      <c r="A110" s="16" t="s">
        <v>68</v>
      </c>
      <c r="B110" s="6" t="s">
        <v>135</v>
      </c>
      <c r="C110" t="s">
        <v>464</v>
      </c>
    </row>
    <row r="111" spans="1:3">
      <c r="A111" s="16" t="s">
        <v>55</v>
      </c>
      <c r="B111" s="6" t="s">
        <v>136</v>
      </c>
      <c r="C111" t="s">
        <v>464</v>
      </c>
    </row>
    <row r="112" spans="1:3">
      <c r="A112" s="16" t="s">
        <v>68</v>
      </c>
      <c r="B112" s="6" t="s">
        <v>137</v>
      </c>
      <c r="C112" t="s">
        <v>464</v>
      </c>
    </row>
    <row r="113" spans="1:3">
      <c r="A113" s="16" t="s">
        <v>68</v>
      </c>
      <c r="B113" s="6" t="s">
        <v>138</v>
      </c>
      <c r="C113" t="s">
        <v>464</v>
      </c>
    </row>
    <row r="114" spans="1:3">
      <c r="A114" s="17" t="s">
        <v>68</v>
      </c>
      <c r="B114" s="6" t="s">
        <v>139</v>
      </c>
      <c r="C114" t="s">
        <v>464</v>
      </c>
    </row>
    <row r="115" spans="1:3">
      <c r="A115" s="13" t="s">
        <v>68</v>
      </c>
      <c r="B115" s="12" t="s">
        <v>140</v>
      </c>
      <c r="C115" t="s">
        <v>464</v>
      </c>
    </row>
    <row r="116" spans="1:3">
      <c r="A116" s="18" t="s">
        <v>141</v>
      </c>
      <c r="B116" s="12" t="s">
        <v>142</v>
      </c>
      <c r="C116" t="s">
        <v>464</v>
      </c>
    </row>
    <row r="117" spans="1:3">
      <c r="A117" s="18" t="s">
        <v>143</v>
      </c>
      <c r="B117" s="12" t="s">
        <v>144</v>
      </c>
      <c r="C117" t="s">
        <v>464</v>
      </c>
    </row>
    <row r="118" spans="1:3">
      <c r="A118" s="18" t="s">
        <v>143</v>
      </c>
      <c r="B118" s="12" t="s">
        <v>145</v>
      </c>
      <c r="C118" t="s">
        <v>464</v>
      </c>
    </row>
    <row r="119" spans="1:3">
      <c r="A119" s="18" t="s">
        <v>143</v>
      </c>
      <c r="B119" s="12" t="s">
        <v>146</v>
      </c>
      <c r="C119" t="s">
        <v>464</v>
      </c>
    </row>
    <row r="120" spans="1:3">
      <c r="A120" s="19" t="s">
        <v>147</v>
      </c>
      <c r="B120" s="12" t="s">
        <v>148</v>
      </c>
      <c r="C120" t="s">
        <v>464</v>
      </c>
    </row>
    <row r="121" spans="1:3">
      <c r="A121" s="17" t="s">
        <v>143</v>
      </c>
      <c r="B121" s="6" t="s">
        <v>149</v>
      </c>
      <c r="C121" t="s">
        <v>464</v>
      </c>
    </row>
    <row r="122" spans="1:3">
      <c r="A122" s="17" t="s">
        <v>143</v>
      </c>
      <c r="B122" s="6" t="s">
        <v>150</v>
      </c>
      <c r="C122" t="s">
        <v>464</v>
      </c>
    </row>
    <row r="123" spans="1:3">
      <c r="A123" s="3" t="s">
        <v>151</v>
      </c>
      <c r="B123" s="6" t="s">
        <v>152</v>
      </c>
      <c r="C123" t="s">
        <v>464</v>
      </c>
    </row>
    <row r="124" spans="1:3">
      <c r="A124" s="3" t="s">
        <v>153</v>
      </c>
      <c r="B124" s="6" t="s">
        <v>154</v>
      </c>
      <c r="C124" t="s">
        <v>464</v>
      </c>
    </row>
    <row r="125" spans="1:3">
      <c r="A125" s="17" t="s">
        <v>55</v>
      </c>
      <c r="B125" s="6" t="s">
        <v>155</v>
      </c>
      <c r="C125" t="s">
        <v>464</v>
      </c>
    </row>
    <row r="126" spans="1:3">
      <c r="A126" s="20" t="s">
        <v>156</v>
      </c>
      <c r="B126" s="6" t="s">
        <v>157</v>
      </c>
      <c r="C126" t="s">
        <v>464</v>
      </c>
    </row>
    <row r="127" spans="1:3">
      <c r="A127" s="20" t="s">
        <v>158</v>
      </c>
      <c r="B127" s="6" t="s">
        <v>159</v>
      </c>
      <c r="C127" t="s">
        <v>464</v>
      </c>
    </row>
    <row r="128" spans="1:3">
      <c r="A128" s="3" t="s">
        <v>158</v>
      </c>
      <c r="B128" s="6" t="s">
        <v>160</v>
      </c>
      <c r="C128" t="s">
        <v>464</v>
      </c>
    </row>
    <row r="129" spans="1:3">
      <c r="A129" s="20" t="s">
        <v>161</v>
      </c>
      <c r="B129" s="6" t="s">
        <v>162</v>
      </c>
      <c r="C129" t="s">
        <v>464</v>
      </c>
    </row>
    <row r="130" spans="1:3">
      <c r="A130" s="20" t="s">
        <v>14</v>
      </c>
      <c r="B130" s="6" t="s">
        <v>163</v>
      </c>
      <c r="C130" t="s">
        <v>464</v>
      </c>
    </row>
    <row r="131" spans="1:3">
      <c r="A131" s="20" t="s">
        <v>165</v>
      </c>
      <c r="B131" s="6" t="s">
        <v>166</v>
      </c>
      <c r="C131" t="s">
        <v>464</v>
      </c>
    </row>
    <row r="132" spans="1:3">
      <c r="A132" s="20" t="s">
        <v>167</v>
      </c>
      <c r="B132" s="6" t="s">
        <v>168</v>
      </c>
      <c r="C132" t="s">
        <v>464</v>
      </c>
    </row>
    <row r="133" spans="1:3">
      <c r="A133" s="20" t="s">
        <v>147</v>
      </c>
      <c r="B133" s="6" t="s">
        <v>169</v>
      </c>
      <c r="C133" t="s">
        <v>464</v>
      </c>
    </row>
    <row r="134" spans="1:3">
      <c r="A134" s="20" t="s">
        <v>170</v>
      </c>
      <c r="B134" s="6" t="s">
        <v>171</v>
      </c>
      <c r="C134" t="s">
        <v>464</v>
      </c>
    </row>
    <row r="135" spans="1:3">
      <c r="A135" s="1" t="s">
        <v>172</v>
      </c>
      <c r="B135" s="21" t="s">
        <v>173</v>
      </c>
      <c r="C135" t="s">
        <v>464</v>
      </c>
    </row>
    <row r="136" spans="1:3">
      <c r="A136" t="s">
        <v>174</v>
      </c>
      <c r="B136" t="s">
        <v>175</v>
      </c>
      <c r="C136" t="s">
        <v>464</v>
      </c>
    </row>
    <row r="137" spans="1:3">
      <c r="A137" t="s">
        <v>165</v>
      </c>
      <c r="B137" t="s">
        <v>176</v>
      </c>
      <c r="C137" t="s">
        <v>464</v>
      </c>
    </row>
    <row r="138" spans="1:3">
      <c r="A138" t="s">
        <v>9</v>
      </c>
      <c r="B138" t="s">
        <v>531</v>
      </c>
      <c r="C138" t="s">
        <v>532</v>
      </c>
    </row>
    <row r="139" spans="1:3">
      <c r="A139" t="s">
        <v>19</v>
      </c>
      <c r="B139" t="s">
        <v>533</v>
      </c>
      <c r="C139" t="s">
        <v>465</v>
      </c>
    </row>
    <row r="140" spans="1:3">
      <c r="A140" t="s">
        <v>14</v>
      </c>
      <c r="B140" t="s">
        <v>164</v>
      </c>
      <c r="C140" t="s">
        <v>464</v>
      </c>
    </row>
    <row r="141" spans="1:3">
      <c r="A141" t="s">
        <v>83</v>
      </c>
      <c r="B141" t="s">
        <v>92</v>
      </c>
      <c r="C141" t="s">
        <v>464</v>
      </c>
    </row>
    <row r="142" spans="1:3">
      <c r="A142" t="s">
        <v>126</v>
      </c>
      <c r="B142" t="s">
        <v>132</v>
      </c>
      <c r="C142" t="s">
        <v>464</v>
      </c>
    </row>
    <row r="143" spans="1:3">
      <c r="A143" t="s">
        <v>55</v>
      </c>
      <c r="B143" t="s">
        <v>97</v>
      </c>
      <c r="C143" t="s">
        <v>464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8"/>
  <dimension ref="A1:E25"/>
  <sheetViews>
    <sheetView workbookViewId="0">
      <selection activeCell="J24" sqref="J24"/>
    </sheetView>
  </sheetViews>
  <sheetFormatPr defaultColWidth="9" defaultRowHeight="13.5" outlineLevelCol="4"/>
  <cols>
    <col min="1" max="1" width="11.375" customWidth="1"/>
    <col min="2" max="2" width="13.625" customWidth="1"/>
    <col min="3" max="3" width="36.625" customWidth="1"/>
    <col min="4" max="4" width="14.375" style="1" customWidth="1"/>
    <col min="5" max="5" width="38.125" customWidth="1"/>
  </cols>
  <sheetData>
    <row r="1" spans="1:5">
      <c r="A1" s="2" t="s">
        <v>534</v>
      </c>
      <c r="B1" s="2" t="s">
        <v>535</v>
      </c>
      <c r="C1" s="2" t="s">
        <v>536</v>
      </c>
      <c r="D1" s="3" t="s">
        <v>537</v>
      </c>
      <c r="E1" s="4" t="s">
        <v>538</v>
      </c>
    </row>
    <row r="2" spans="1:5">
      <c r="A2" s="2">
        <v>1</v>
      </c>
      <c r="B2" s="2" t="s">
        <v>55</v>
      </c>
      <c r="C2" s="2" t="s">
        <v>539</v>
      </c>
      <c r="D2" s="3" t="s">
        <v>540</v>
      </c>
      <c r="E2" s="4" t="s">
        <v>541</v>
      </c>
    </row>
    <row r="3" spans="1:5">
      <c r="A3" s="2">
        <v>2</v>
      </c>
      <c r="B3" s="2" t="s">
        <v>76</v>
      </c>
      <c r="C3" s="2" t="s">
        <v>542</v>
      </c>
      <c r="D3" s="3" t="s">
        <v>540</v>
      </c>
      <c r="E3" s="4" t="s">
        <v>543</v>
      </c>
    </row>
    <row r="4" spans="1:5">
      <c r="A4" s="2">
        <v>3</v>
      </c>
      <c r="B4" s="2" t="s">
        <v>83</v>
      </c>
      <c r="C4" s="2" t="s">
        <v>544</v>
      </c>
      <c r="D4" s="3" t="s">
        <v>540</v>
      </c>
      <c r="E4" s="4" t="s">
        <v>541</v>
      </c>
    </row>
    <row r="5" spans="1:5">
      <c r="A5" s="2">
        <v>4</v>
      </c>
      <c r="B5" s="2" t="s">
        <v>98</v>
      </c>
      <c r="C5" s="2" t="s">
        <v>545</v>
      </c>
      <c r="D5" s="3" t="s">
        <v>540</v>
      </c>
      <c r="E5" s="4" t="s">
        <v>546</v>
      </c>
    </row>
    <row r="6" spans="1:5">
      <c r="A6" s="2">
        <v>5</v>
      </c>
      <c r="B6" s="2" t="s">
        <v>108</v>
      </c>
      <c r="C6" s="2" t="s">
        <v>547</v>
      </c>
      <c r="D6" s="3" t="s">
        <v>540</v>
      </c>
      <c r="E6" s="4" t="s">
        <v>548</v>
      </c>
    </row>
    <row r="7" spans="1:5">
      <c r="A7" s="2">
        <v>6</v>
      </c>
      <c r="B7" s="2" t="s">
        <v>117</v>
      </c>
      <c r="C7" s="2" t="s">
        <v>549</v>
      </c>
      <c r="D7" s="3" t="s">
        <v>540</v>
      </c>
      <c r="E7" s="4" t="s">
        <v>550</v>
      </c>
    </row>
    <row r="8" spans="1:5">
      <c r="A8" s="2">
        <v>7</v>
      </c>
      <c r="B8" s="2" t="s">
        <v>126</v>
      </c>
      <c r="C8" s="2" t="s">
        <v>551</v>
      </c>
      <c r="D8" s="3" t="s">
        <v>540</v>
      </c>
      <c r="E8" s="4" t="s">
        <v>541</v>
      </c>
    </row>
    <row r="9" spans="1:5">
      <c r="A9" s="2">
        <v>8</v>
      </c>
      <c r="B9" s="2" t="s">
        <v>68</v>
      </c>
      <c r="C9" s="2" t="s">
        <v>552</v>
      </c>
      <c r="D9" s="3" t="s">
        <v>540</v>
      </c>
      <c r="E9" s="4" t="s">
        <v>541</v>
      </c>
    </row>
    <row r="10" spans="1:5">
      <c r="A10" s="2">
        <v>9</v>
      </c>
      <c r="B10" s="2" t="s">
        <v>141</v>
      </c>
      <c r="C10" s="2" t="s">
        <v>553</v>
      </c>
      <c r="D10" s="3" t="s">
        <v>540</v>
      </c>
      <c r="E10" s="4" t="s">
        <v>554</v>
      </c>
    </row>
    <row r="11" spans="1:5">
      <c r="A11" s="2">
        <v>10</v>
      </c>
      <c r="B11" s="2" t="s">
        <v>143</v>
      </c>
      <c r="C11" s="2" t="s">
        <v>555</v>
      </c>
      <c r="D11" s="3" t="s">
        <v>540</v>
      </c>
      <c r="E11" s="4" t="s">
        <v>541</v>
      </c>
    </row>
    <row r="12" spans="1:5">
      <c r="A12" s="2">
        <v>11</v>
      </c>
      <c r="B12" s="2" t="s">
        <v>151</v>
      </c>
      <c r="C12" s="2" t="s">
        <v>556</v>
      </c>
      <c r="D12" s="3" t="s">
        <v>540</v>
      </c>
      <c r="E12" s="4" t="s">
        <v>541</v>
      </c>
    </row>
    <row r="13" spans="1:5">
      <c r="A13" s="2">
        <v>12</v>
      </c>
      <c r="B13" s="2" t="s">
        <v>557</v>
      </c>
      <c r="C13" s="2" t="s">
        <v>558</v>
      </c>
      <c r="D13" s="3" t="s">
        <v>540</v>
      </c>
      <c r="E13" s="4" t="s">
        <v>541</v>
      </c>
    </row>
    <row r="14" spans="1:5">
      <c r="A14" s="2">
        <v>13</v>
      </c>
      <c r="B14" s="2" t="s">
        <v>156</v>
      </c>
      <c r="C14" s="2" t="s">
        <v>559</v>
      </c>
      <c r="D14" s="3" t="s">
        <v>540</v>
      </c>
      <c r="E14" s="4" t="s">
        <v>541</v>
      </c>
    </row>
    <row r="15" spans="1:5">
      <c r="A15" s="2">
        <v>14</v>
      </c>
      <c r="B15" s="2" t="s">
        <v>158</v>
      </c>
      <c r="C15" s="2" t="s">
        <v>560</v>
      </c>
      <c r="D15" s="3" t="s">
        <v>540</v>
      </c>
      <c r="E15" s="4" t="s">
        <v>561</v>
      </c>
    </row>
    <row r="16" spans="1:5">
      <c r="A16" s="2">
        <v>15</v>
      </c>
      <c r="B16" s="2" t="s">
        <v>161</v>
      </c>
      <c r="C16" s="2" t="s">
        <v>562</v>
      </c>
      <c r="D16" s="3" t="s">
        <v>563</v>
      </c>
      <c r="E16" s="4" t="s">
        <v>563</v>
      </c>
    </row>
    <row r="17" spans="1:5">
      <c r="A17" s="2">
        <v>16</v>
      </c>
      <c r="B17" s="2" t="s">
        <v>14</v>
      </c>
      <c r="C17" s="2" t="s">
        <v>564</v>
      </c>
      <c r="D17" s="3" t="s">
        <v>540</v>
      </c>
      <c r="E17" s="4" t="s">
        <v>565</v>
      </c>
    </row>
    <row r="18" spans="1:5">
      <c r="A18" s="2">
        <v>17</v>
      </c>
      <c r="B18" s="2" t="s">
        <v>153</v>
      </c>
      <c r="C18" s="2" t="s">
        <v>566</v>
      </c>
      <c r="D18" s="3" t="s">
        <v>540</v>
      </c>
      <c r="E18" s="4" t="s">
        <v>541</v>
      </c>
    </row>
    <row r="19" spans="1:5">
      <c r="A19" s="2">
        <v>18</v>
      </c>
      <c r="B19" s="5" t="s">
        <v>165</v>
      </c>
      <c r="C19" s="5" t="s">
        <v>567</v>
      </c>
      <c r="D19" s="3" t="s">
        <v>540</v>
      </c>
      <c r="E19" s="4" t="s">
        <v>541</v>
      </c>
    </row>
    <row r="20" spans="1:5">
      <c r="A20" s="2">
        <v>19</v>
      </c>
      <c r="B20" s="6" t="s">
        <v>568</v>
      </c>
      <c r="C20" s="6" t="s">
        <v>569</v>
      </c>
      <c r="D20" s="3" t="s">
        <v>540</v>
      </c>
      <c r="E20" s="4" t="s">
        <v>541</v>
      </c>
    </row>
    <row r="21" spans="1:5">
      <c r="A21" s="2">
        <v>20</v>
      </c>
      <c r="B21" s="6" t="s">
        <v>147</v>
      </c>
      <c r="C21" s="6" t="s">
        <v>570</v>
      </c>
      <c r="D21" s="3" t="s">
        <v>563</v>
      </c>
      <c r="E21" s="4" t="s">
        <v>563</v>
      </c>
    </row>
    <row r="22" spans="1:5">
      <c r="A22" s="2">
        <v>21</v>
      </c>
      <c r="B22" s="6" t="s">
        <v>170</v>
      </c>
      <c r="C22" s="6" t="s">
        <v>571</v>
      </c>
      <c r="D22" s="3" t="s">
        <v>540</v>
      </c>
      <c r="E22" s="4" t="s">
        <v>572</v>
      </c>
    </row>
    <row r="23" spans="1:5">
      <c r="A23" s="2">
        <v>22</v>
      </c>
      <c r="B23" s="6" t="s">
        <v>172</v>
      </c>
      <c r="C23" s="6" t="s">
        <v>573</v>
      </c>
      <c r="D23" s="3" t="s">
        <v>540</v>
      </c>
      <c r="E23" s="4" t="s">
        <v>574</v>
      </c>
    </row>
    <row r="24" spans="1:5">
      <c r="A24" s="2">
        <v>23</v>
      </c>
      <c r="B24" s="6" t="s">
        <v>174</v>
      </c>
      <c r="C24" s="6" t="s">
        <v>575</v>
      </c>
      <c r="D24" s="3" t="s">
        <v>563</v>
      </c>
      <c r="E24" s="4" t="s">
        <v>563</v>
      </c>
    </row>
    <row r="25" spans="1:5">
      <c r="A25" s="2">
        <v>24</v>
      </c>
      <c r="B25" s="6" t="s">
        <v>167</v>
      </c>
      <c r="C25" s="6" t="s">
        <v>576</v>
      </c>
      <c r="D25" s="3" t="s">
        <v>540</v>
      </c>
      <c r="E25" s="4" t="s">
        <v>577</v>
      </c>
    </row>
  </sheetData>
  <pageMargins left="0.7" right="0.7" top="0.75" bottom="0.75" header="0.3" footer="0.3"/>
  <pageSetup paperSize="9" fitToHeight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0" master="" otherUserPermission="visible"/>
  <rangeList sheetStid="5" master="" otherUserPermission="visible">
    <arrUserId title="W45:W82" rangeCreator="" othersAccessPermission="edit"/>
  </rangeList>
  <rangeList sheetStid="4" master="" otherUserPermission="visible">
    <arrUserId title="W45:W82" rangeCreator="" othersAccessPermission="edit"/>
  </rangeList>
  <rangeList sheetStid="11" master="" otherUserPermission="visible">
    <arrUserId title="A56:A92" rangeCreator="" othersAccessPermission="edit"/>
  </rangeList>
  <rangeList sheetStid="19" master="" otherUserPermission="visible"/>
  <rangeList sheetStid="38" master="" otherUserPermission="visible"/>
  <rangeList sheetStid="26" master="" otherUserPermission="visible"/>
  <rangeList sheetStid="28" master="" otherUserPermission="visible"/>
  <rangeList sheetStid="31" master="" otherUserPermission="visible"/>
  <rangeList sheetStid="34" master="" otherUserPermission="visible"/>
  <rangeList sheetStid="33" master="" otherUserPermission="visible"/>
  <rangeList sheetStid="32" master="" otherUserPermission="visible"/>
  <rangeList sheetStid="36" master="" otherUserPermission="visible"/>
  <rangeList sheetStid="37" master="" otherUserPermission="visible"/>
  <rangeList sheetStid="39" master="" otherUserPermission="visible"/>
  <rangeList sheetStid="30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2026年19周纯洗箱情况</vt:lpstr>
      <vt:lpstr>2025年18周</vt:lpstr>
      <vt:lpstr>2026年第19周</vt:lpstr>
      <vt:lpstr>自营2026周完成情况</vt:lpstr>
      <vt:lpstr>第19周周填报数据</vt:lpstr>
      <vt:lpstr>第19周各客户箱量信息</vt:lpstr>
      <vt:lpstr>周检修业务统计数据</vt:lpstr>
      <vt:lpstr>2026年新格式</vt:lpstr>
      <vt:lpstr>双品牌</vt:lpstr>
      <vt:lpstr>COS</vt:lpstr>
      <vt:lpstr>OOCL</vt:lpstr>
      <vt:lpstr>第三方</vt:lpstr>
      <vt:lpstr>全部干箱</vt:lpstr>
      <vt:lpstr>全部冷箱</vt:lpstr>
      <vt:lpstr>冷箱第三方</vt:lpstr>
      <vt:lpstr>经营单位</vt:lpstr>
      <vt:lpstr>全外包单位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钟如华</cp:lastModifiedBy>
  <dcterms:created xsi:type="dcterms:W3CDTF">2020-10-28T00:39:00Z</dcterms:created>
  <dcterms:modified xsi:type="dcterms:W3CDTF">2026-05-07T02:24:53Z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CA537BCB74EA4076A9B8A4BA34A2A626_13</vt:lpwstr>
  </property>
  <property fmtid="{D5CDD505-2E9C-101B-9397-08002B2CF9AE}" pid="4" name="Generator">
    <vt:lpwstr>NPOI</vt:lpwstr>
  </property>
  <property fmtid="{D5CDD505-2E9C-101B-9397-08002B2CF9AE}" pid="5" name="Generator Version">
    <vt:lpwstr>2.2.1</vt:lpwstr>
  </property>
  <property fmtid="{D5CDD505-2E9C-101B-9397-08002B2CF9AE}" pid="6" name="CalculationRule">
    <vt:i4>0</vt:i4>
  </property>
</Properties>
</file>